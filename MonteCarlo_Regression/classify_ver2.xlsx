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Thesis\Code\MonteCarlo_Regression\"/>
    </mc:Choice>
  </mc:AlternateContent>
  <xr:revisionPtr revIDLastSave="0" documentId="13_ncr:1_{AE4B5F4E-1950-4A66-9397-E6009C489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know" sheetId="1" r:id="rId1"/>
    <sheet name="range1-7" sheetId="4" r:id="rId2"/>
    <sheet name="range2-5" sheetId="2" r:id="rId3"/>
    <sheet name="range2-4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3" l="1"/>
  <c r="C52" i="3" s="1"/>
  <c r="P4" i="3"/>
  <c r="C28" i="3" l="1"/>
  <c r="C39" i="3"/>
  <c r="C9" i="3"/>
  <c r="C19" i="3"/>
  <c r="C12" i="3"/>
  <c r="C20" i="3"/>
  <c r="C31" i="3"/>
  <c r="C45" i="3"/>
  <c r="C6" i="3"/>
  <c r="C13" i="3"/>
  <c r="C23" i="3"/>
  <c r="C35" i="3"/>
  <c r="C46" i="3"/>
  <c r="C4" i="3"/>
  <c r="C7" i="3"/>
  <c r="C16" i="3"/>
  <c r="C27" i="3"/>
  <c r="C36" i="3"/>
  <c r="C49" i="3"/>
  <c r="C10" i="3"/>
  <c r="C17" i="3"/>
  <c r="C24" i="3"/>
  <c r="C32" i="3"/>
  <c r="C40" i="3"/>
  <c r="C50" i="3"/>
  <c r="C8" i="3"/>
  <c r="C11" i="3"/>
  <c r="C14" i="3"/>
  <c r="C55" i="3"/>
  <c r="C21" i="3"/>
  <c r="C25" i="3"/>
  <c r="C29" i="3"/>
  <c r="C33" i="3"/>
  <c r="C37" i="3"/>
  <c r="C43" i="3"/>
  <c r="C47" i="3"/>
  <c r="C51" i="3"/>
  <c r="C5" i="3"/>
  <c r="C53" i="3"/>
  <c r="C54" i="3"/>
  <c r="C15" i="3"/>
  <c r="C18" i="3"/>
  <c r="C22" i="3"/>
  <c r="C26" i="3"/>
  <c r="C30" i="3"/>
  <c r="C34" i="3"/>
  <c r="C38" i="3"/>
  <c r="C44" i="3"/>
  <c r="C48" i="3"/>
  <c r="R4" i="2"/>
  <c r="C41" i="2" s="1"/>
  <c r="P4" i="2"/>
  <c r="C54" i="2" l="1"/>
  <c r="C19" i="2"/>
  <c r="C51" i="2"/>
  <c r="C15" i="2"/>
  <c r="C53" i="2"/>
  <c r="C49" i="2"/>
  <c r="C45" i="2"/>
  <c r="C47" i="2"/>
  <c r="C5" i="2"/>
  <c r="C17" i="2"/>
  <c r="C52" i="2"/>
  <c r="C48" i="2"/>
  <c r="C44" i="2"/>
  <c r="C12" i="2"/>
  <c r="C23" i="2"/>
  <c r="C50" i="2"/>
  <c r="C46" i="2"/>
  <c r="C7" i="2"/>
  <c r="C9" i="2"/>
  <c r="C11" i="2"/>
  <c r="C18" i="2"/>
  <c r="C22" i="2"/>
  <c r="C26" i="2"/>
  <c r="C30" i="2"/>
  <c r="C34" i="2"/>
  <c r="C38" i="2"/>
  <c r="C27" i="2"/>
  <c r="C31" i="2"/>
  <c r="C35" i="2"/>
  <c r="C39" i="2"/>
  <c r="C4" i="2"/>
  <c r="C6" i="2"/>
  <c r="C8" i="2"/>
  <c r="C13" i="2"/>
  <c r="C20" i="2"/>
  <c r="C24" i="2"/>
  <c r="C28" i="2"/>
  <c r="C32" i="2"/>
  <c r="C36" i="2"/>
  <c r="C40" i="2"/>
  <c r="C55" i="2"/>
  <c r="C10" i="2"/>
  <c r="C14" i="2"/>
  <c r="C16" i="2"/>
  <c r="C21" i="2"/>
  <c r="C25" i="2"/>
  <c r="C29" i="2"/>
  <c r="C33" i="2"/>
  <c r="C37" i="2"/>
  <c r="R4" i="1"/>
  <c r="P4" i="1"/>
  <c r="C71" i="1" l="1"/>
  <c r="C81" i="1"/>
  <c r="C69" i="1"/>
  <c r="C75" i="1"/>
  <c r="C73" i="1"/>
  <c r="C80" i="1"/>
  <c r="C72" i="1"/>
  <c r="C78" i="1"/>
  <c r="C77" i="1"/>
  <c r="C67" i="1"/>
  <c r="C68" i="1"/>
  <c r="C65" i="1"/>
  <c r="C62" i="1"/>
  <c r="C64" i="1"/>
  <c r="C61" i="1"/>
  <c r="C57" i="1"/>
  <c r="C60" i="1"/>
  <c r="C58" i="1"/>
  <c r="C55" i="1"/>
  <c r="C82" i="1"/>
  <c r="C70" i="1"/>
  <c r="C59" i="1"/>
  <c r="C79" i="1"/>
  <c r="C66" i="1"/>
  <c r="C76" i="1"/>
  <c r="C63" i="1"/>
  <c r="C83" i="1"/>
  <c r="C74" i="1"/>
  <c r="C56" i="1"/>
  <c r="C37" i="1"/>
  <c r="C7" i="1"/>
  <c r="C38" i="1"/>
  <c r="C11" i="1"/>
  <c r="C49" i="1"/>
  <c r="C21" i="1"/>
  <c r="C26" i="1"/>
  <c r="C53" i="1"/>
  <c r="C16" i="1"/>
  <c r="C28" i="1"/>
  <c r="C42" i="1"/>
  <c r="C6" i="1"/>
  <c r="C17" i="1"/>
  <c r="C32" i="1"/>
  <c r="C48" i="1"/>
  <c r="C12" i="1"/>
  <c r="C22" i="1"/>
  <c r="C33" i="1"/>
  <c r="C44" i="1"/>
  <c r="C54" i="1"/>
  <c r="C9" i="1"/>
  <c r="C13" i="1"/>
  <c r="C18" i="1"/>
  <c r="C24" i="1"/>
  <c r="C29" i="1"/>
  <c r="C34" i="1"/>
  <c r="C40" i="1"/>
  <c r="C45" i="1"/>
  <c r="C50" i="1"/>
  <c r="C5" i="1"/>
  <c r="C10" i="1"/>
  <c r="C14" i="1"/>
  <c r="C20" i="1"/>
  <c r="C25" i="1"/>
  <c r="C30" i="1"/>
  <c r="C36" i="1"/>
  <c r="C41" i="1"/>
  <c r="C46" i="1"/>
  <c r="C52" i="1"/>
  <c r="C8" i="1"/>
  <c r="C15" i="1"/>
  <c r="C19" i="1"/>
  <c r="C23" i="1"/>
  <c r="C27" i="1"/>
  <c r="C31" i="1"/>
  <c r="C35" i="1"/>
  <c r="C39" i="1"/>
  <c r="C43" i="1"/>
  <c r="C47" i="1"/>
  <c r="C51" i="1"/>
  <c r="C4" i="1"/>
  <c r="D71" i="1" s="1"/>
  <c r="D72" i="1" l="1"/>
  <c r="D78" i="1"/>
  <c r="D80" i="1"/>
  <c r="D73" i="1"/>
  <c r="D69" i="1"/>
  <c r="D81" i="1"/>
  <c r="D75" i="1"/>
  <c r="D77" i="1"/>
  <c r="D68" i="1"/>
  <c r="D67" i="1"/>
  <c r="D64" i="1"/>
  <c r="D65" i="1"/>
  <c r="D61" i="1"/>
  <c r="D62" i="1"/>
  <c r="D57" i="1"/>
  <c r="D63" i="1"/>
  <c r="D59" i="1"/>
  <c r="D58" i="1"/>
  <c r="D56" i="1"/>
  <c r="D76" i="1"/>
  <c r="D70" i="1"/>
  <c r="D60" i="1"/>
  <c r="D74" i="1"/>
  <c r="D66" i="1"/>
  <c r="D82" i="1"/>
  <c r="D83" i="1"/>
  <c r="D79" i="1"/>
</calcChain>
</file>

<file path=xl/sharedStrings.xml><?xml version="1.0" encoding="utf-8"?>
<sst xmlns="http://schemas.openxmlformats.org/spreadsheetml/2006/main" count="551" uniqueCount="124">
  <si>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</si>
  <si>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</si>
  <si>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</si>
  <si>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</si>
  <si>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</si>
  <si>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</si>
  <si>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</si>
  <si>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</si>
  <si>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</si>
  <si>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</si>
  <si>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</si>
  <si>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</si>
  <si>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</si>
  <si>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</si>
  <si>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</si>
  <si>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</si>
  <si>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</si>
  <si>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</si>
  <si>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</si>
  <si>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</si>
  <si>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</si>
  <si>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</si>
  <si>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</si>
  <si>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</si>
  <si>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</si>
  <si>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</si>
  <si>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</si>
  <si>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</si>
  <si>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</si>
  <si>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X Variable 6</t>
  </si>
  <si>
    <t>X Variable 7</t>
  </si>
  <si>
    <t>b1a</t>
  </si>
  <si>
    <t>b12</t>
  </si>
  <si>
    <t>b1b</t>
  </si>
  <si>
    <t>b13</t>
  </si>
  <si>
    <t>b4a</t>
  </si>
  <si>
    <t>b19</t>
  </si>
  <si>
    <t>b19b</t>
  </si>
  <si>
    <t>5l</t>
  </si>
  <si>
    <t>pt</t>
  </si>
  <si>
    <t>short-bridge</t>
  </si>
  <si>
    <t>H2-siesta</t>
  </si>
  <si>
    <t>H-theory</t>
  </si>
  <si>
    <t>H</t>
  </si>
  <si>
    <t>chạy lại H chỉ 1 H theo setup ban đầu</t>
  </si>
  <si>
    <t>b14</t>
  </si>
  <si>
    <t>b123</t>
  </si>
  <si>
    <t>b1a3</t>
  </si>
  <si>
    <t>b1a4</t>
  </si>
  <si>
    <t>b124</t>
  </si>
  <si>
    <t>ba47</t>
  </si>
  <si>
    <t>b129</t>
  </si>
  <si>
    <t>b135</t>
  </si>
  <si>
    <t>b1234</t>
  </si>
  <si>
    <t>b24a3</t>
  </si>
  <si>
    <t>b1239</t>
  </si>
  <si>
    <t>b123a</t>
  </si>
  <si>
    <t>b1249</t>
  </si>
  <si>
    <t>b124a</t>
  </si>
  <si>
    <t>b1352</t>
  </si>
  <si>
    <t>ba419</t>
  </si>
  <si>
    <t>ba471</t>
  </si>
  <si>
    <t>ba479</t>
  </si>
  <si>
    <t>b1357i3</t>
  </si>
  <si>
    <t>b12345</t>
  </si>
  <si>
    <t>b12a79</t>
  </si>
  <si>
    <t>b123a9</t>
  </si>
  <si>
    <t>b1234a</t>
  </si>
  <si>
    <t>ba'2349</t>
  </si>
  <si>
    <t>b12349</t>
  </si>
  <si>
    <t>b12359</t>
  </si>
  <si>
    <t>b12i0i7i89</t>
  </si>
  <si>
    <t>b12357i3</t>
  </si>
  <si>
    <t>6b13579i1</t>
  </si>
  <si>
    <t>6b123456</t>
  </si>
  <si>
    <t>6b123459</t>
  </si>
  <si>
    <t>7b12i0i7i898</t>
  </si>
  <si>
    <t>7b12357i34</t>
  </si>
  <si>
    <t>7b1234567</t>
  </si>
  <si>
    <t>8b12345678</t>
  </si>
  <si>
    <t>9b123456789</t>
  </si>
  <si>
    <t>10b123456789i0</t>
  </si>
  <si>
    <t>11b123456789i0i1</t>
  </si>
  <si>
    <t>12b123456789i0i1i2</t>
  </si>
  <si>
    <t>13b123456789i0i1i2i3</t>
  </si>
  <si>
    <t>14b123456789i0i1i2i3i4</t>
  </si>
  <si>
    <t>15b123456789i0i1i2i3i4i5</t>
  </si>
  <si>
    <t>16b123456789i0i1i2i3i4i5i6</t>
  </si>
  <si>
    <t>17b123456789i0i1i2i3i4i5i6i7</t>
  </si>
  <si>
    <t>18b123456789i0i1i2i3i4i5i6i7i8</t>
  </si>
  <si>
    <t>E_ads</t>
  </si>
  <si>
    <t>RESIDUAL OUTPUT</t>
  </si>
  <si>
    <t>Observation</t>
  </si>
  <si>
    <t>Residuals</t>
  </si>
  <si>
    <t>Predicted Y</t>
  </si>
  <si>
    <t>b1b (b27)</t>
  </si>
  <si>
    <t>21H</t>
  </si>
  <si>
    <t>24H</t>
  </si>
  <si>
    <t>26H</t>
  </si>
  <si>
    <t>28H</t>
  </si>
  <si>
    <t>30H</t>
  </si>
  <si>
    <t>31H</t>
  </si>
  <si>
    <t>33H</t>
  </si>
  <si>
    <t>35H</t>
  </si>
  <si>
    <t>36H</t>
  </si>
  <si>
    <t>19H</t>
  </si>
  <si>
    <t>19H_1</t>
  </si>
  <si>
    <t>20H</t>
  </si>
  <si>
    <t>21H_1</t>
  </si>
  <si>
    <t>22H</t>
  </si>
  <si>
    <t>23H</t>
  </si>
  <si>
    <t>24H_1</t>
  </si>
  <si>
    <t>25H</t>
  </si>
  <si>
    <t>26H_1</t>
  </si>
  <si>
    <t>27H</t>
  </si>
  <si>
    <t>28H_1</t>
  </si>
  <si>
    <t>27H_1</t>
  </si>
  <si>
    <t>28H_2</t>
  </si>
  <si>
    <t>29H</t>
  </si>
  <si>
    <t>30H_1</t>
  </si>
  <si>
    <t>31H_1</t>
  </si>
  <si>
    <t>32H</t>
  </si>
  <si>
    <t>33H_1</t>
  </si>
  <si>
    <t>34H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</si>
</sst>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12"/>
      <color theme="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/>
    <xf numFmtId="0" fontId="0" fillId="2" borderId="0" xfId="0" applyFill="1"/>
    <xf numFmtId="0" fontId="3" fillId="0" borderId="0" xfId="0" applyFont="1" applyFill="1"/>
    <xf numFmtId="0" fontId="4" fillId="0" borderId="0" xfId="0" applyFont="1" applyFill="1"/>
    <xf numFmtId="0" fontId="3" fillId="2" borderId="0" xfId="0" applyFont="1" applyFill="1"/>
    <xf numFmtId="0" fontId="4" fillId="4" borderId="0" xfId="0" applyFont="1" applyFill="1"/>
    <xf numFmtId="0" fontId="0" fillId="0" borderId="0" xfId="0" applyAlignment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5" fillId="4" borderId="0" xfId="0" applyFont="1" applyFill="1"/>
    <xf numFmtId="0" fontId="6" fillId="0" borderId="0" xfId="0" applyFont="1" applyFill="1"/>
    <xf numFmtId="0" fontId="5" fillId="0" borderId="0" xfId="0" applyFont="1" applyFill="1"/>
    <xf numFmtId="0" fontId="0" fillId="5" borderId="0" xfId="0" applyFill="1" applyBorder="1" applyAlignment="1"/>
    <xf numFmtId="0" fontId="0" fillId="2" borderId="0" xfId="0" applyFill="1" applyBorder="1" applyAlignment="1"/>
    <xf numFmtId="164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2" fillId="0" borderId="0" xfId="0" applyFont="1" applyFill="1" applyBorder="1" applyAlignment="1">
      <alignment horizontal="centerContinuous"/>
    </xf>
    <xf numFmtId="0" fontId="0" fillId="0" borderId="0" xfId="0" applyFill="1" applyBorder="1"/>
    <xf numFmtId="0" fontId="7" fillId="0" borderId="0" xfId="0" applyFont="1" applyFill="1"/>
    <xf numFmtId="0" fontId="7" fillId="0" borderId="0" xfId="0" applyFont="1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114300</xdr:colOff>
      <xdr:row>54</xdr:row>
      <xdr:rowOff>133350</xdr:rowOff>
    </xdr:from>
    <xdr:to>
      <xdr:col>16</xdr:col>
      <xdr:colOff>313846</xdr:colOff>
      <xdr:row>67</xdr:row>
      <xdr:rowOff>47325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0610850"/>
          <a:ext cx="3828571" cy="24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714375</xdr:colOff>
      <xdr:row>54</xdr:row>
      <xdr:rowOff>123825</xdr:rowOff>
    </xdr:from>
    <xdr:to>
      <xdr:col>21</xdr:col>
      <xdr:colOff>351946</xdr:colOff>
      <xdr:row>67</xdr:row>
      <xdr:rowOff>37800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06375" y="10601325"/>
          <a:ext cx="3828571" cy="24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67</xdr:row>
      <xdr:rowOff>161925</xdr:rowOff>
    </xdr:from>
    <xdr:to>
      <xdr:col>16</xdr:col>
      <xdr:colOff>332896</xdr:colOff>
      <xdr:row>80</xdr:row>
      <xdr:rowOff>85425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6325" y="13125450"/>
          <a:ext cx="3828571" cy="24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723900</xdr:colOff>
      <xdr:row>67</xdr:row>
      <xdr:rowOff>142875</xdr:rowOff>
    </xdr:from>
    <xdr:to>
      <xdr:col>21</xdr:col>
      <xdr:colOff>361471</xdr:colOff>
      <xdr:row>80</xdr:row>
      <xdr:rowOff>66375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15900" y="13106400"/>
          <a:ext cx="3828571" cy="2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9"/>
  <sheetViews>
    <sheetView tabSelected="1" workbookViewId="0">
      <selection activeCell="A5" sqref="A5:A83"/>
    </sheetView>
  </sheetViews>
  <sheetFormatPr defaultRowHeight="14.4" x14ac:dyDescent="0.3"/>
  <cols>
    <col min="1" max="1" width="27.88671875" bestFit="1" customWidth="1"/>
    <col min="4" max="4" width="9" bestFit="1" customWidth="1"/>
    <col min="14" max="14" width="18" bestFit="1" customWidth="1"/>
    <col min="15" max="15" width="12.6640625" bestFit="1" customWidth="1"/>
    <col min="16" max="16" width="14.5546875" bestFit="1" customWidth="1"/>
    <col min="17" max="18" width="12" bestFit="1" customWidth="1"/>
    <col min="19" max="19" width="13.44140625" bestFit="1" customWidth="1"/>
    <col min="20" max="22" width="12.6640625" bestFit="1" customWidth="1"/>
  </cols>
  <sheetData>
    <row r="1" spans="1:27" x14ac:dyDescent="0.3">
      <c r="B1" s="14" t="s">
        <v>38</v>
      </c>
      <c r="C1" s="14" t="s">
        <v>90</v>
      </c>
      <c r="Q1" s="7" t="s">
        <v>41</v>
      </c>
    </row>
    <row r="2" spans="1:27" ht="15.6" x14ac:dyDescent="0.3">
      <c r="C2" s="6"/>
      <c r="D2" s="6"/>
      <c r="Q2" s="8">
        <v>-31.621320999999998</v>
      </c>
    </row>
    <row r="3" spans="1:27" x14ac:dyDescent="0.3">
      <c r="A3" s="9" t="s">
        <v>39</v>
      </c>
      <c r="B3" s="9">
        <v>-64040.612581000001</v>
      </c>
      <c r="C3" s="9"/>
      <c r="P3" t="s">
        <v>42</v>
      </c>
      <c r="Q3" t="s">
        <v>43</v>
      </c>
    </row>
    <row r="4" spans="1:27" ht="15.6" x14ac:dyDescent="0.3">
      <c r="A4" s="12" t="s">
        <v>40</v>
      </c>
      <c r="B4" s="12">
        <v>-64057.222185999999</v>
      </c>
      <c r="C4" s="12">
        <f>B4-$B$3-$R$4</f>
        <v>-0.79894449999782857</v>
      </c>
      <c r="D4" s="11"/>
      <c r="E4" s="13" t="s">
        <v>31</v>
      </c>
      <c r="F4" s="13" t="s">
        <v>32</v>
      </c>
      <c r="G4" s="13" t="s">
        <v>33</v>
      </c>
      <c r="H4" s="13" t="s">
        <v>34</v>
      </c>
      <c r="I4" s="13" t="s">
        <v>35</v>
      </c>
      <c r="J4" s="13" t="s">
        <v>36</v>
      </c>
      <c r="K4" s="13" t="s">
        <v>37</v>
      </c>
      <c r="P4">
        <f>Q4*2-4.525</f>
        <v>-31.621000000000002</v>
      </c>
      <c r="Q4">
        <v>-13.548</v>
      </c>
      <c r="R4">
        <f>Q2/2</f>
        <v>-15.810660499999999</v>
      </c>
    </row>
    <row r="5" spans="1:27" ht="15.6" x14ac:dyDescent="0.3">
      <c r="A5" s="10" t="s">
        <v>33</v>
      </c>
      <c r="B5" s="10">
        <v>-64073.824418999997</v>
      </c>
      <c r="C5" s="11">
        <f t="shared" ref="C5:C11" si="0">B5-$B$3-2*$R$4</f>
        <v>-1.590516999995625</v>
      </c>
      <c r="D5" s="11">
        <v>7.3720000000321306E-3</v>
      </c>
      <c r="E5" s="10">
        <v>0</v>
      </c>
      <c r="F5" s="10">
        <v>0</v>
      </c>
      <c r="G5" s="10">
        <v>1</v>
      </c>
      <c r="H5" s="10">
        <v>0</v>
      </c>
      <c r="I5" s="10">
        <v>0</v>
      </c>
      <c r="J5" s="10">
        <v>0</v>
      </c>
      <c r="K5" s="10">
        <v>0</v>
      </c>
      <c r="Q5" t="s">
        <v>44</v>
      </c>
      <c r="T5">
        <v>-12.276583</v>
      </c>
      <c r="U5" s="1"/>
    </row>
    <row r="6" spans="1:27" ht="15.6" x14ac:dyDescent="0.3">
      <c r="A6" s="11" t="s">
        <v>32</v>
      </c>
      <c r="B6" s="11">
        <v>-64073.795804000001</v>
      </c>
      <c r="C6" s="11">
        <f t="shared" si="0"/>
        <v>-1.5619019999999999</v>
      </c>
      <c r="D6" s="11">
        <v>3.5986999995657243E-2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O6" s="1"/>
      <c r="P6" s="1"/>
      <c r="Q6" s="1"/>
      <c r="R6" s="1"/>
      <c r="S6" s="1"/>
      <c r="T6" s="1"/>
      <c r="U6" s="1"/>
    </row>
    <row r="7" spans="1:27" ht="15.6" x14ac:dyDescent="0.3">
      <c r="A7" s="11" t="s">
        <v>31</v>
      </c>
      <c r="B7" s="11">
        <v>-64073.78368</v>
      </c>
      <c r="C7" s="11">
        <f t="shared" si="0"/>
        <v>-1.5497779999992325</v>
      </c>
      <c r="D7" s="11">
        <v>4.8110999996424653E-2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O7" s="1"/>
      <c r="P7" s="1"/>
      <c r="Q7" s="1"/>
      <c r="R7" s="1"/>
      <c r="S7" s="1"/>
      <c r="T7" s="1"/>
      <c r="U7" s="1"/>
    </row>
    <row r="8" spans="1:27" ht="15.6" x14ac:dyDescent="0.3">
      <c r="A8" s="11" t="s">
        <v>34</v>
      </c>
      <c r="B8" s="11">
        <v>-64073.826342</v>
      </c>
      <c r="C8" s="11">
        <f t="shared" si="0"/>
        <v>-1.592439999999069</v>
      </c>
      <c r="D8" s="11">
        <v>5.4489999965880997E-3</v>
      </c>
      <c r="E8" s="10">
        <v>0</v>
      </c>
      <c r="F8" s="10">
        <v>0</v>
      </c>
      <c r="G8" s="10">
        <v>0</v>
      </c>
      <c r="H8" s="10">
        <v>1</v>
      </c>
      <c r="I8" s="10">
        <v>0</v>
      </c>
      <c r="J8" s="10">
        <v>0</v>
      </c>
      <c r="K8" s="10">
        <v>0</v>
      </c>
      <c r="N8" t="s">
        <v>0</v>
      </c>
      <c r="W8" s="15"/>
      <c r="X8" s="15"/>
      <c r="Y8" s="15"/>
      <c r="Z8" t="s">
        <v>0</v>
      </c>
    </row>
    <row r="9" spans="1:27" ht="16.2" thickBot="1" x14ac:dyDescent="0.35">
      <c r="A9" s="19" t="s">
        <v>45</v>
      </c>
      <c r="B9" s="19">
        <v>-64073.826313999998</v>
      </c>
      <c r="C9" s="19">
        <f t="shared" si="0"/>
        <v>-1.592411999996866</v>
      </c>
      <c r="D9" s="19">
        <v>5.4769999987911433E-3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0">
        <v>0</v>
      </c>
      <c r="K9" s="10">
        <v>0</v>
      </c>
      <c r="W9" s="15"/>
      <c r="X9" s="15"/>
      <c r="Y9" s="15"/>
    </row>
    <row r="10" spans="1:27" ht="15.6" x14ac:dyDescent="0.3">
      <c r="A10" s="11" t="s">
        <v>35</v>
      </c>
      <c r="B10" s="11">
        <v>-64073.820822000001</v>
      </c>
      <c r="C10" s="11">
        <f t="shared" si="0"/>
        <v>-1.5869200000002728</v>
      </c>
      <c r="D10" s="11">
        <v>1.0968999995384365E-2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  <c r="J10" s="10">
        <v>0</v>
      </c>
      <c r="K10" s="10">
        <v>0</v>
      </c>
      <c r="N10" s="5" t="s">
        <v>1</v>
      </c>
      <c r="O10" s="5"/>
      <c r="W10" s="15"/>
      <c r="X10" s="15"/>
      <c r="Y10" s="15"/>
      <c r="Z10" s="5" t="s">
        <v>1</v>
      </c>
      <c r="AA10" s="5"/>
    </row>
    <row r="11" spans="1:27" ht="15.6" x14ac:dyDescent="0.3">
      <c r="A11" s="19" t="s">
        <v>36</v>
      </c>
      <c r="B11" s="19">
        <v>-64073.820087</v>
      </c>
      <c r="C11" s="19">
        <f t="shared" si="0"/>
        <v>-1.5861849999988316</v>
      </c>
      <c r="D11" s="19">
        <v>1.1703999996825587E-2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0">
        <v>1</v>
      </c>
      <c r="K11" s="10">
        <v>0</v>
      </c>
      <c r="N11" s="2" t="s">
        <v>2</v>
      </c>
      <c r="O11" s="2">
        <v>0.99911036176621426</v>
      </c>
      <c r="W11" s="15"/>
      <c r="X11" s="15"/>
      <c r="Y11" s="15"/>
      <c r="Z11" s="2" t="s">
        <v>2</v>
      </c>
      <c r="AA11" s="2">
        <v>0.99704736116536596</v>
      </c>
    </row>
    <row r="12" spans="1:27" x14ac:dyDescent="0.3">
      <c r="A12" s="11" t="s">
        <v>46</v>
      </c>
      <c r="B12" s="11">
        <v>-64090.389736999998</v>
      </c>
      <c r="C12" s="11">
        <f t="shared" ref="C12:C18" si="1">B12-$B$3-3*$R$4</f>
        <v>-2.3451744999964674</v>
      </c>
      <c r="D12" s="11">
        <v>5.1658999997018284E-2</v>
      </c>
      <c r="E12" s="11">
        <v>0</v>
      </c>
      <c r="F12" s="11">
        <v>1</v>
      </c>
      <c r="G12" s="11">
        <v>1</v>
      </c>
      <c r="H12" s="11">
        <v>1</v>
      </c>
      <c r="I12" s="11">
        <v>0</v>
      </c>
      <c r="J12" s="11">
        <v>0</v>
      </c>
      <c r="K12" s="11">
        <v>0</v>
      </c>
      <c r="N12" s="2" t="s">
        <v>3</v>
      </c>
      <c r="O12" s="2">
        <v>0.99822151498861555</v>
      </c>
      <c r="W12" s="15"/>
      <c r="X12" s="15"/>
      <c r="Y12" s="15"/>
      <c r="Z12" s="2" t="s">
        <v>3</v>
      </c>
      <c r="AA12" s="2">
        <v>0.99410344040681975</v>
      </c>
    </row>
    <row r="13" spans="1:27" x14ac:dyDescent="0.3">
      <c r="A13" s="11" t="s">
        <v>47</v>
      </c>
      <c r="B13" s="11">
        <v>-64090.298674999998</v>
      </c>
      <c r="C13" s="11">
        <f t="shared" si="1"/>
        <v>-2.2541124999969568</v>
      </c>
      <c r="D13" s="11">
        <v>0.14272099999652887</v>
      </c>
      <c r="E13" s="11">
        <v>2</v>
      </c>
      <c r="F13" s="11">
        <v>0</v>
      </c>
      <c r="G13" s="11">
        <v>0</v>
      </c>
      <c r="H13" s="11">
        <v>1</v>
      </c>
      <c r="I13" s="11">
        <v>0</v>
      </c>
      <c r="J13" s="11">
        <v>0</v>
      </c>
      <c r="K13" s="11">
        <v>0</v>
      </c>
      <c r="N13" s="2" t="s">
        <v>4</v>
      </c>
      <c r="O13" s="2">
        <v>0.97525172157797224</v>
      </c>
      <c r="W13" s="15"/>
      <c r="X13" s="15"/>
      <c r="Y13" s="15"/>
      <c r="Z13" s="2" t="s">
        <v>4</v>
      </c>
      <c r="AA13" s="2">
        <v>0.97972317155183264</v>
      </c>
    </row>
    <row r="14" spans="1:27" x14ac:dyDescent="0.3">
      <c r="A14" s="11" t="s">
        <v>48</v>
      </c>
      <c r="B14" s="11">
        <v>-64090.375950000001</v>
      </c>
      <c r="C14" s="11">
        <f t="shared" si="1"/>
        <v>-2.3313875000002398</v>
      </c>
      <c r="D14" s="11">
        <v>6.5445999993245962E-2</v>
      </c>
      <c r="E14" s="11">
        <v>1</v>
      </c>
      <c r="F14" s="11">
        <v>0</v>
      </c>
      <c r="G14" s="11">
        <v>0</v>
      </c>
      <c r="H14" s="11">
        <v>0</v>
      </c>
      <c r="I14" s="11">
        <v>1</v>
      </c>
      <c r="J14" s="11">
        <v>0</v>
      </c>
      <c r="K14" s="11">
        <v>0</v>
      </c>
      <c r="N14" s="2" t="s">
        <v>5</v>
      </c>
      <c r="O14" s="2">
        <v>1.416330660527265E-2</v>
      </c>
      <c r="W14" s="15"/>
      <c r="X14" s="15"/>
      <c r="Y14" s="15"/>
      <c r="Z14" s="2" t="s">
        <v>5</v>
      </c>
      <c r="AA14" s="2">
        <v>0.35197803081438633</v>
      </c>
    </row>
    <row r="15" spans="1:27" ht="15" thickBot="1" x14ac:dyDescent="0.35">
      <c r="A15" s="11" t="s">
        <v>49</v>
      </c>
      <c r="B15" s="11">
        <v>-64090.397914000001</v>
      </c>
      <c r="C15" s="11">
        <f t="shared" si="1"/>
        <v>-2.3533514999998104</v>
      </c>
      <c r="D15" s="11">
        <v>4.3481999993675302E-2</v>
      </c>
      <c r="E15" s="11">
        <v>0</v>
      </c>
      <c r="F15" s="11">
        <v>1</v>
      </c>
      <c r="G15" s="11">
        <v>0</v>
      </c>
      <c r="H15" s="11">
        <v>1</v>
      </c>
      <c r="I15" s="11">
        <v>0</v>
      </c>
      <c r="J15" s="11">
        <v>0</v>
      </c>
      <c r="K15" s="11">
        <v>0</v>
      </c>
      <c r="N15" s="3" t="s">
        <v>6</v>
      </c>
      <c r="O15" s="3">
        <v>51</v>
      </c>
      <c r="W15" s="15"/>
      <c r="X15" s="15"/>
      <c r="Y15" s="15"/>
      <c r="Z15" s="3" t="s">
        <v>6</v>
      </c>
      <c r="AA15" s="3">
        <v>79</v>
      </c>
    </row>
    <row r="16" spans="1:27" x14ac:dyDescent="0.3">
      <c r="A16" s="11" t="s">
        <v>50</v>
      </c>
      <c r="B16" s="11">
        <v>-64090.412712999998</v>
      </c>
      <c r="C16" s="11">
        <f t="shared" si="1"/>
        <v>-2.3681504999966663</v>
      </c>
      <c r="D16" s="11">
        <v>2.8682999996819447E-2</v>
      </c>
      <c r="E16" s="11">
        <v>0</v>
      </c>
      <c r="F16" s="11">
        <v>0</v>
      </c>
      <c r="G16" s="11">
        <v>0</v>
      </c>
      <c r="H16" s="11">
        <v>0</v>
      </c>
      <c r="I16" s="11">
        <v>2</v>
      </c>
      <c r="J16" s="11">
        <v>0</v>
      </c>
      <c r="K16" s="11">
        <v>0</v>
      </c>
      <c r="W16" s="15"/>
      <c r="X16" s="15"/>
      <c r="Y16" s="15"/>
    </row>
    <row r="17" spans="1:34" ht="15" thickBot="1" x14ac:dyDescent="0.35">
      <c r="A17" s="11" t="s">
        <v>51</v>
      </c>
      <c r="B17" s="11">
        <v>-64090.372091999998</v>
      </c>
      <c r="C17" s="11">
        <f t="shared" si="1"/>
        <v>-2.3275294999965652</v>
      </c>
      <c r="D17" s="11">
        <v>6.9303999996920496E-2</v>
      </c>
      <c r="E17" s="11">
        <v>0</v>
      </c>
      <c r="F17" s="11">
        <v>2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N17" t="s">
        <v>7</v>
      </c>
      <c r="W17" s="15"/>
      <c r="X17" s="15"/>
      <c r="Y17" s="15"/>
      <c r="Z17" t="s">
        <v>7</v>
      </c>
    </row>
    <row r="18" spans="1:34" x14ac:dyDescent="0.3">
      <c r="A18" s="11" t="s">
        <v>52</v>
      </c>
      <c r="B18" s="11">
        <v>-64090.429834000002</v>
      </c>
      <c r="C18" s="11">
        <f t="shared" si="1"/>
        <v>-2.3852715000010747</v>
      </c>
      <c r="D18" s="11">
        <v>1.1561999992411032E-2</v>
      </c>
      <c r="E18" s="11">
        <v>0</v>
      </c>
      <c r="F18" s="11">
        <v>0</v>
      </c>
      <c r="G18" s="11">
        <v>0</v>
      </c>
      <c r="H18" s="11">
        <v>3</v>
      </c>
      <c r="I18" s="11">
        <v>0</v>
      </c>
      <c r="J18" s="11">
        <v>0</v>
      </c>
      <c r="K18" s="11">
        <v>0</v>
      </c>
      <c r="N18" s="4"/>
      <c r="O18" s="4" t="s">
        <v>12</v>
      </c>
      <c r="P18" s="4" t="s">
        <v>13</v>
      </c>
      <c r="Q18" s="4" t="s">
        <v>14</v>
      </c>
      <c r="R18" s="4" t="s">
        <v>15</v>
      </c>
      <c r="S18" s="4" t="s">
        <v>16</v>
      </c>
      <c r="W18" s="15"/>
      <c r="X18" s="15"/>
      <c r="Y18" s="15"/>
      <c r="Z18" s="4"/>
      <c r="AA18" s="4" t="s">
        <v>12</v>
      </c>
      <c r="AB18" s="4" t="s">
        <v>13</v>
      </c>
      <c r="AC18" s="4" t="s">
        <v>14</v>
      </c>
      <c r="AD18" s="4" t="s">
        <v>15</v>
      </c>
      <c r="AE18" s="4" t="s">
        <v>16</v>
      </c>
    </row>
    <row r="19" spans="1:34" x14ac:dyDescent="0.3">
      <c r="A19" s="11" t="s">
        <v>53</v>
      </c>
      <c r="B19" s="11">
        <v>-64106.964669000001</v>
      </c>
      <c r="C19" s="11">
        <f t="shared" ref="C19:C28" si="2">B19-$B$3-4*$R$4</f>
        <v>-3.1094459999996431</v>
      </c>
      <c r="D19" s="11">
        <v>8.6331999991671182E-2</v>
      </c>
      <c r="E19" s="11">
        <v>0</v>
      </c>
      <c r="F19" s="11">
        <v>2</v>
      </c>
      <c r="G19" s="11">
        <v>1</v>
      </c>
      <c r="H19" s="11">
        <v>2</v>
      </c>
      <c r="I19" s="11">
        <v>0</v>
      </c>
      <c r="J19" s="11">
        <v>0</v>
      </c>
      <c r="K19" s="11">
        <v>0</v>
      </c>
      <c r="N19" s="2" t="s">
        <v>8</v>
      </c>
      <c r="O19" s="2">
        <v>7</v>
      </c>
      <c r="P19" s="2">
        <v>4.9540308507816579</v>
      </c>
      <c r="Q19" s="2">
        <v>0.70771869296880829</v>
      </c>
      <c r="R19" s="2">
        <v>3528.0225567867265</v>
      </c>
      <c r="S19" s="2">
        <v>3.5812363079661471E-57</v>
      </c>
      <c r="W19" s="15"/>
      <c r="X19" s="15"/>
      <c r="Y19" s="15"/>
      <c r="Z19" s="2" t="s">
        <v>8</v>
      </c>
      <c r="AA19" s="2">
        <v>7</v>
      </c>
      <c r="AB19" s="2">
        <v>1503.8222135410799</v>
      </c>
      <c r="AC19" s="2">
        <v>214.83174479158285</v>
      </c>
      <c r="AD19" s="2">
        <v>1734.072860095614</v>
      </c>
      <c r="AE19" s="2">
        <v>1.101017330856641E-76</v>
      </c>
    </row>
    <row r="20" spans="1:34" x14ac:dyDescent="0.3">
      <c r="A20" s="11" t="s">
        <v>54</v>
      </c>
      <c r="B20" s="11">
        <v>-64106.916719000001</v>
      </c>
      <c r="C20" s="11">
        <f t="shared" si="2"/>
        <v>-3.061495999999515</v>
      </c>
      <c r="D20" s="11">
        <v>0.13428199999179924</v>
      </c>
      <c r="E20" s="11">
        <v>2</v>
      </c>
      <c r="F20" s="11">
        <v>1</v>
      </c>
      <c r="G20" s="11">
        <v>1</v>
      </c>
      <c r="H20" s="11">
        <v>1</v>
      </c>
      <c r="I20" s="11">
        <v>1</v>
      </c>
      <c r="J20" s="11">
        <v>0</v>
      </c>
      <c r="K20" s="11">
        <v>0</v>
      </c>
      <c r="N20" s="2" t="s">
        <v>9</v>
      </c>
      <c r="O20" s="2">
        <v>44</v>
      </c>
      <c r="P20" s="2">
        <v>8.8263671757782339E-3</v>
      </c>
      <c r="Q20" s="2">
        <v>2.0059925399495987E-4</v>
      </c>
      <c r="R20" s="2"/>
      <c r="S20" s="2"/>
      <c r="W20" s="15"/>
      <c r="X20" s="15"/>
      <c r="Y20" s="15"/>
      <c r="Z20" s="2" t="s">
        <v>9</v>
      </c>
      <c r="AA20" s="2">
        <v>72</v>
      </c>
      <c r="AB20" s="2">
        <v>8.9199744606700619</v>
      </c>
      <c r="AC20" s="2">
        <v>0.12388853417597308</v>
      </c>
      <c r="AD20" s="2"/>
      <c r="AE20" s="2"/>
    </row>
    <row r="21" spans="1:34" ht="15" thickBot="1" x14ac:dyDescent="0.35">
      <c r="A21" s="11" t="s">
        <v>55</v>
      </c>
      <c r="B21" s="11">
        <v>-64106.969994999999</v>
      </c>
      <c r="C21" s="11">
        <f t="shared" si="2"/>
        <v>-3.1147719999982471</v>
      </c>
      <c r="D21" s="11">
        <v>8.1005999993067235E-2</v>
      </c>
      <c r="E21" s="11">
        <v>0</v>
      </c>
      <c r="F21" s="11">
        <v>2</v>
      </c>
      <c r="G21" s="11">
        <v>1</v>
      </c>
      <c r="H21" s="11">
        <v>2</v>
      </c>
      <c r="I21" s="11">
        <v>0</v>
      </c>
      <c r="J21" s="11">
        <v>1</v>
      </c>
      <c r="K21" s="11">
        <v>0</v>
      </c>
      <c r="N21" s="3" t="s">
        <v>10</v>
      </c>
      <c r="O21" s="3">
        <v>51</v>
      </c>
      <c r="P21" s="3">
        <v>4.9628572179574366</v>
      </c>
      <c r="Q21" s="3"/>
      <c r="R21" s="3"/>
      <c r="S21" s="3"/>
      <c r="W21" s="15"/>
      <c r="X21" s="15"/>
      <c r="Y21" s="15"/>
      <c r="Z21" s="3" t="s">
        <v>10</v>
      </c>
      <c r="AA21" s="3">
        <v>79</v>
      </c>
      <c r="AB21" s="3">
        <v>1512.74218800175</v>
      </c>
      <c r="AC21" s="3"/>
      <c r="AD21" s="3"/>
      <c r="AE21" s="3"/>
    </row>
    <row r="22" spans="1:34" ht="15" thickBot="1" x14ac:dyDescent="0.35">
      <c r="A22" s="11" t="s">
        <v>56</v>
      </c>
      <c r="B22" s="11">
        <v>-64106.815552</v>
      </c>
      <c r="C22" s="11">
        <f t="shared" si="2"/>
        <v>-2.9603289999988007</v>
      </c>
      <c r="D22" s="11">
        <v>0.23544899999251356</v>
      </c>
      <c r="E22" s="11">
        <v>3</v>
      </c>
      <c r="F22" s="11">
        <v>1</v>
      </c>
      <c r="G22" s="11">
        <v>1</v>
      </c>
      <c r="H22" s="11">
        <v>1</v>
      </c>
      <c r="I22" s="11">
        <v>0</v>
      </c>
      <c r="J22" s="11">
        <v>0</v>
      </c>
      <c r="K22" s="11">
        <v>0</v>
      </c>
      <c r="W22" s="15"/>
      <c r="X22" s="15"/>
      <c r="Y22" s="15"/>
    </row>
    <row r="23" spans="1:34" x14ac:dyDescent="0.3">
      <c r="A23" s="11" t="s">
        <v>57</v>
      </c>
      <c r="B23" s="11">
        <v>-64106.968430000001</v>
      </c>
      <c r="C23" s="11">
        <f t="shared" si="2"/>
        <v>-3.1132069999995835</v>
      </c>
      <c r="D23" s="11">
        <v>8.2570999991730787E-2</v>
      </c>
      <c r="E23" s="11">
        <v>0</v>
      </c>
      <c r="F23" s="11">
        <v>2</v>
      </c>
      <c r="G23" s="11">
        <v>1</v>
      </c>
      <c r="H23" s="11">
        <v>1</v>
      </c>
      <c r="I23" s="11">
        <v>0</v>
      </c>
      <c r="J23" s="11">
        <v>1</v>
      </c>
      <c r="K23" s="11">
        <v>0</v>
      </c>
      <c r="N23" s="4"/>
      <c r="O23" s="4" t="s">
        <v>17</v>
      </c>
      <c r="P23" s="4" t="s">
        <v>5</v>
      </c>
      <c r="Q23" s="4" t="s">
        <v>18</v>
      </c>
      <c r="R23" s="4" t="s">
        <v>19</v>
      </c>
      <c r="S23" s="4" t="s">
        <v>20</v>
      </c>
      <c r="T23" s="4" t="s">
        <v>21</v>
      </c>
      <c r="U23" s="4" t="s">
        <v>22</v>
      </c>
      <c r="V23" s="4" t="s">
        <v>23</v>
      </c>
      <c r="W23" s="15"/>
      <c r="X23" s="15"/>
      <c r="Y23" s="15"/>
      <c r="Z23" s="4"/>
      <c r="AA23" s="4" t="s">
        <v>17</v>
      </c>
      <c r="AB23" s="4" t="s">
        <v>5</v>
      </c>
      <c r="AC23" s="4" t="s">
        <v>18</v>
      </c>
      <c r="AD23" s="4" t="s">
        <v>19</v>
      </c>
      <c r="AE23" s="4" t="s">
        <v>20</v>
      </c>
      <c r="AF23" s="4" t="s">
        <v>21</v>
      </c>
      <c r="AG23" s="4" t="s">
        <v>22</v>
      </c>
      <c r="AH23" s="4" t="s">
        <v>23</v>
      </c>
    </row>
    <row r="24" spans="1:34" x14ac:dyDescent="0.3">
      <c r="A24" s="11" t="s">
        <v>58</v>
      </c>
      <c r="B24" s="11">
        <v>-64106.872261999997</v>
      </c>
      <c r="C24" s="11">
        <f t="shared" si="2"/>
        <v>-3.0170389999959113</v>
      </c>
      <c r="D24" s="11">
        <v>0.17873899999540299</v>
      </c>
      <c r="E24" s="11">
        <v>2</v>
      </c>
      <c r="F24" s="11">
        <v>1</v>
      </c>
      <c r="G24" s="11">
        <v>0</v>
      </c>
      <c r="H24" s="11">
        <v>1</v>
      </c>
      <c r="I24" s="11">
        <v>1</v>
      </c>
      <c r="J24" s="11">
        <v>0</v>
      </c>
      <c r="K24" s="11">
        <v>0</v>
      </c>
      <c r="N24" s="2" t="s">
        <v>11</v>
      </c>
      <c r="O24" s="2">
        <v>0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16"/>
      <c r="X24" s="15"/>
      <c r="Y24" s="15"/>
      <c r="Z24" s="2" t="s">
        <v>11</v>
      </c>
      <c r="AA24" s="2">
        <v>0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</row>
    <row r="25" spans="1:34" x14ac:dyDescent="0.3">
      <c r="A25" s="11" t="s">
        <v>59</v>
      </c>
      <c r="B25" s="11">
        <v>-64106.993028999997</v>
      </c>
      <c r="C25" s="11">
        <f t="shared" si="2"/>
        <v>-3.1378059999962531</v>
      </c>
      <c r="D25" s="11">
        <v>5.7971999995061196E-2</v>
      </c>
      <c r="E25" s="11">
        <v>0</v>
      </c>
      <c r="F25" s="11">
        <v>1</v>
      </c>
      <c r="G25" s="11">
        <v>1</v>
      </c>
      <c r="H25" s="11">
        <v>3</v>
      </c>
      <c r="I25" s="11">
        <v>0</v>
      </c>
      <c r="J25" s="11">
        <v>0</v>
      </c>
      <c r="K25" s="11">
        <v>0</v>
      </c>
      <c r="N25" s="2" t="s">
        <v>24</v>
      </c>
      <c r="O25" s="2">
        <v>6.1269727713596719E-2</v>
      </c>
      <c r="P25" s="2">
        <v>2.0724089358332642E-3</v>
      </c>
      <c r="Q25" s="2">
        <v>29.564496974609735</v>
      </c>
      <c r="R25" s="2">
        <v>1.1501065305328584E-30</v>
      </c>
      <c r="S25" s="2">
        <v>5.7093061943330851E-2</v>
      </c>
      <c r="T25" s="2">
        <v>6.5446393483862594E-2</v>
      </c>
      <c r="U25" s="2">
        <v>5.7093061943330851E-2</v>
      </c>
      <c r="V25" s="2">
        <v>6.5446393483862594E-2</v>
      </c>
      <c r="W25" s="2"/>
      <c r="X25" s="15"/>
      <c r="Y25" s="15"/>
      <c r="Z25" s="2" t="s">
        <v>24</v>
      </c>
      <c r="AA25" s="2">
        <v>0.1096606883061249</v>
      </c>
      <c r="AB25" s="2">
        <v>3.8784815193301132E-2</v>
      </c>
      <c r="AC25" s="2">
        <v>2.8274129387901623</v>
      </c>
      <c r="AD25" s="2">
        <v>6.072047735100802E-3</v>
      </c>
      <c r="AE25" s="2">
        <v>3.234457227856527E-2</v>
      </c>
      <c r="AF25" s="2">
        <v>0.18697680433368452</v>
      </c>
      <c r="AG25" s="2">
        <v>3.234457227856527E-2</v>
      </c>
      <c r="AH25" s="2">
        <v>0.18697680433368452</v>
      </c>
    </row>
    <row r="26" spans="1:34" x14ac:dyDescent="0.3">
      <c r="A26" s="11" t="s">
        <v>60</v>
      </c>
      <c r="B26" s="11">
        <v>-64106.950879000004</v>
      </c>
      <c r="C26" s="11">
        <f t="shared" si="2"/>
        <v>-3.0956560000023998</v>
      </c>
      <c r="D26" s="11">
        <v>0.10012199998891447</v>
      </c>
      <c r="E26" s="11">
        <v>1</v>
      </c>
      <c r="F26" s="11">
        <v>0</v>
      </c>
      <c r="G26" s="11">
        <v>1</v>
      </c>
      <c r="H26" s="11">
        <v>0</v>
      </c>
      <c r="I26" s="11">
        <v>2</v>
      </c>
      <c r="J26" s="11">
        <v>1</v>
      </c>
      <c r="K26" s="11">
        <v>0</v>
      </c>
      <c r="N26" s="2" t="s">
        <v>25</v>
      </c>
      <c r="O26" s="2">
        <v>2.4144431226721275E-2</v>
      </c>
      <c r="P26" s="2">
        <v>3.3989075258292144E-3</v>
      </c>
      <c r="Q26" s="2">
        <v>7.103585797271986</v>
      </c>
      <c r="R26" s="2">
        <v>8.0614799143858067E-9</v>
      </c>
      <c r="S26" s="2">
        <v>1.7294383210632192E-2</v>
      </c>
      <c r="T26" s="2">
        <v>3.0994479242810357E-2</v>
      </c>
      <c r="U26" s="2">
        <v>1.7294383210632192E-2</v>
      </c>
      <c r="V26" s="2">
        <v>3.0994479242810357E-2</v>
      </c>
      <c r="W26" s="2"/>
      <c r="X26" s="15"/>
      <c r="Y26" s="15"/>
      <c r="Z26" s="2" t="s">
        <v>25</v>
      </c>
      <c r="AA26" s="2">
        <v>0.11912150161662832</v>
      </c>
      <c r="AB26" s="2">
        <v>3.6865535167431428E-2</v>
      </c>
      <c r="AC26" s="2">
        <v>3.2312429773667111</v>
      </c>
      <c r="AD26" s="2">
        <v>1.8595646001995112E-3</v>
      </c>
      <c r="AE26" s="2">
        <v>4.5631400394861799E-2</v>
      </c>
      <c r="AF26" s="2">
        <v>0.19261160283839485</v>
      </c>
      <c r="AG26" s="2">
        <v>4.5631400394861799E-2</v>
      </c>
      <c r="AH26" s="2">
        <v>0.19261160283839485</v>
      </c>
    </row>
    <row r="27" spans="1:34" x14ac:dyDescent="0.3">
      <c r="A27" s="11" t="s">
        <v>61</v>
      </c>
      <c r="B27" s="11">
        <v>-64106.961837000003</v>
      </c>
      <c r="C27" s="11">
        <f t="shared" si="2"/>
        <v>-3.1066140000013363</v>
      </c>
      <c r="D27" s="11">
        <v>8.9163999989978038E-2</v>
      </c>
      <c r="E27" s="11">
        <v>1</v>
      </c>
      <c r="F27" s="11">
        <v>0</v>
      </c>
      <c r="G27" s="11">
        <v>0</v>
      </c>
      <c r="H27" s="11">
        <v>1</v>
      </c>
      <c r="I27" s="11">
        <v>2</v>
      </c>
      <c r="J27" s="11">
        <v>0</v>
      </c>
      <c r="K27" s="11">
        <v>0</v>
      </c>
      <c r="N27" s="2" t="s">
        <v>26</v>
      </c>
      <c r="O27" s="2">
        <v>1.2606336588841227E-2</v>
      </c>
      <c r="P27" s="2">
        <v>3.8451668546474883E-3</v>
      </c>
      <c r="Q27" s="2">
        <v>3.2784888316626595</v>
      </c>
      <c r="R27" s="2">
        <v>2.0435713128855123E-3</v>
      </c>
      <c r="S27" s="2">
        <v>4.8569119916587571E-3</v>
      </c>
      <c r="T27" s="2">
        <v>2.0355761186023696E-2</v>
      </c>
      <c r="U27" s="2">
        <v>4.8569119916587571E-3</v>
      </c>
      <c r="V27" s="2">
        <v>2.0355761186023696E-2</v>
      </c>
      <c r="W27" s="2"/>
      <c r="X27" s="15"/>
      <c r="Y27" s="15"/>
      <c r="Z27" s="2" t="s">
        <v>26</v>
      </c>
      <c r="AA27" s="2">
        <v>-6.8827717071480943E-2</v>
      </c>
      <c r="AB27" s="2">
        <v>3.8095077118980386E-2</v>
      </c>
      <c r="AC27" s="2">
        <v>-1.8067352077150256</v>
      </c>
      <c r="AD27" s="2">
        <v>7.4981894355078543E-2</v>
      </c>
      <c r="AE27" s="2">
        <v>-0.14476886537734265</v>
      </c>
      <c r="AF27" s="2">
        <v>7.1134312343807682E-3</v>
      </c>
      <c r="AG27" s="2">
        <v>-0.14476886537734265</v>
      </c>
      <c r="AH27" s="2">
        <v>7.1134312343807682E-3</v>
      </c>
    </row>
    <row r="28" spans="1:34" x14ac:dyDescent="0.3">
      <c r="A28" s="11" t="s">
        <v>62</v>
      </c>
      <c r="B28" s="11">
        <v>-64106.996972000001</v>
      </c>
      <c r="C28" s="11">
        <f t="shared" si="2"/>
        <v>-3.1417489999995993</v>
      </c>
      <c r="D28" s="11">
        <v>5.4028999991714954E-2</v>
      </c>
      <c r="E28" s="11">
        <v>0</v>
      </c>
      <c r="F28" s="11">
        <v>0</v>
      </c>
      <c r="G28" s="11">
        <v>1</v>
      </c>
      <c r="H28" s="11">
        <v>1</v>
      </c>
      <c r="I28" s="11">
        <v>3</v>
      </c>
      <c r="J28" s="11">
        <v>0</v>
      </c>
      <c r="K28" s="11">
        <v>0</v>
      </c>
      <c r="N28" s="2" t="s">
        <v>27</v>
      </c>
      <c r="O28" s="2">
        <v>1.3555645197131027E-2</v>
      </c>
      <c r="P28" s="2">
        <v>1.3271481146597602E-3</v>
      </c>
      <c r="Q28" s="2">
        <v>10.214116305026192</v>
      </c>
      <c r="R28" s="2">
        <v>3.4617653304692261E-13</v>
      </c>
      <c r="S28" s="2">
        <v>1.088095392036157E-2</v>
      </c>
      <c r="T28" s="2">
        <v>1.6230336473900483E-2</v>
      </c>
      <c r="U28" s="2">
        <v>1.088095392036157E-2</v>
      </c>
      <c r="V28" s="2">
        <v>1.6230336473900483E-2</v>
      </c>
      <c r="W28" s="2"/>
      <c r="X28" s="15"/>
      <c r="Y28" s="15"/>
      <c r="Z28" s="2" t="s">
        <v>27</v>
      </c>
      <c r="AA28" s="2">
        <v>1.1632504126566157E-2</v>
      </c>
      <c r="AB28" s="2">
        <v>1.9887944199869102E-2</v>
      </c>
      <c r="AC28" s="2">
        <v>0.58490229103934832</v>
      </c>
      <c r="AD28" s="2">
        <v>0.56044196846484051</v>
      </c>
      <c r="AE28" s="2">
        <v>-2.801338805167719E-2</v>
      </c>
      <c r="AF28" s="2">
        <v>5.1278396304809501E-2</v>
      </c>
      <c r="AG28" s="2">
        <v>-2.801338805167719E-2</v>
      </c>
      <c r="AH28" s="2">
        <v>5.1278396304809501E-2</v>
      </c>
    </row>
    <row r="29" spans="1:34" x14ac:dyDescent="0.3">
      <c r="A29" s="11" t="s">
        <v>63</v>
      </c>
      <c r="B29" s="11">
        <v>-64123.595280000001</v>
      </c>
      <c r="C29" s="11">
        <f t="shared" ref="C29:C36" si="3">B29-$B$3-5*$R$4</f>
        <v>-3.9293965000001378</v>
      </c>
      <c r="D29" s="11">
        <v>6.5325999989005012E-2</v>
      </c>
      <c r="E29" s="11">
        <v>0</v>
      </c>
      <c r="F29" s="11">
        <v>0</v>
      </c>
      <c r="G29" s="11">
        <v>0</v>
      </c>
      <c r="H29" s="11">
        <v>6</v>
      </c>
      <c r="I29" s="11">
        <v>0</v>
      </c>
      <c r="J29" s="11">
        <v>2</v>
      </c>
      <c r="K29" s="11">
        <v>2</v>
      </c>
      <c r="N29" s="2" t="s">
        <v>28</v>
      </c>
      <c r="O29" s="2">
        <v>8.6109305753484938E-3</v>
      </c>
      <c r="P29" s="2">
        <v>2.9397773849651958E-3</v>
      </c>
      <c r="Q29" s="2">
        <v>2.9291097412297562</v>
      </c>
      <c r="R29" s="2">
        <v>5.3684872109286139E-3</v>
      </c>
      <c r="S29" s="2">
        <v>2.6861985576065528E-3</v>
      </c>
      <c r="T29" s="2">
        <v>1.4535662593090436E-2</v>
      </c>
      <c r="U29" s="2">
        <v>2.6861985576065528E-3</v>
      </c>
      <c r="V29" s="2">
        <v>1.4535662593090436E-2</v>
      </c>
      <c r="W29" s="2"/>
      <c r="X29" s="15"/>
      <c r="Y29" s="15"/>
      <c r="Z29" s="2" t="s">
        <v>28</v>
      </c>
      <c r="AA29" s="2">
        <v>2.2724075609188328E-2</v>
      </c>
      <c r="AB29" s="2">
        <v>1.9329894876747269E-2</v>
      </c>
      <c r="AC29" s="2">
        <v>1.1755923016696825</v>
      </c>
      <c r="AD29" s="2">
        <v>0.24363060647637746</v>
      </c>
      <c r="AE29" s="2">
        <v>-1.5809365575011329E-2</v>
      </c>
      <c r="AF29" s="2">
        <v>6.1257516793387985E-2</v>
      </c>
      <c r="AG29" s="2">
        <v>-1.5809365575011329E-2</v>
      </c>
      <c r="AH29" s="2">
        <v>6.1257516793387985E-2</v>
      </c>
    </row>
    <row r="30" spans="1:34" x14ac:dyDescent="0.3">
      <c r="A30" s="11" t="s">
        <v>64</v>
      </c>
      <c r="B30" s="11">
        <v>-64123.548547999999</v>
      </c>
      <c r="C30" s="11">
        <f t="shared" si="3"/>
        <v>-3.8826644999976168</v>
      </c>
      <c r="D30" s="11">
        <v>0.1120579999915261</v>
      </c>
      <c r="E30" s="11">
        <v>0</v>
      </c>
      <c r="F30" s="11">
        <v>2</v>
      </c>
      <c r="G30" s="11">
        <v>2</v>
      </c>
      <c r="H30" s="11">
        <v>4</v>
      </c>
      <c r="I30" s="11">
        <v>0</v>
      </c>
      <c r="J30" s="11">
        <v>0</v>
      </c>
      <c r="K30" s="11">
        <v>0</v>
      </c>
      <c r="N30" s="2" t="s">
        <v>29</v>
      </c>
      <c r="O30" s="2">
        <v>4.1577938709418307E-3</v>
      </c>
      <c r="P30" s="2">
        <v>3.7355438511334511E-3</v>
      </c>
      <c r="Q30" s="2">
        <v>1.1130357550695755</v>
      </c>
      <c r="R30" s="2">
        <v>0.27173701186953492</v>
      </c>
      <c r="S30" s="2">
        <v>-3.370700079545313E-3</v>
      </c>
      <c r="T30" s="2">
        <v>1.1686287821428974E-2</v>
      </c>
      <c r="U30" s="2">
        <v>-3.370700079545313E-3</v>
      </c>
      <c r="V30" s="2">
        <v>1.1686287821428974E-2</v>
      </c>
      <c r="W30" s="2"/>
      <c r="X30" s="15"/>
      <c r="Y30" s="15"/>
      <c r="Z30" s="2" t="s">
        <v>29</v>
      </c>
      <c r="AA30" s="2">
        <v>-7.7335286956804195E-2</v>
      </c>
      <c r="AB30" s="2">
        <v>3.5336950624829153E-2</v>
      </c>
      <c r="AC30" s="2">
        <v>-2.188510485182197</v>
      </c>
      <c r="AD30" s="2">
        <v>3.187724816071133E-2</v>
      </c>
      <c r="AE30" s="2">
        <v>-0.14777821058433058</v>
      </c>
      <c r="AF30" s="2">
        <v>-6.8923633292778119E-3</v>
      </c>
      <c r="AG30" s="2">
        <v>-0.14777821058433058</v>
      </c>
      <c r="AH30" s="2">
        <v>-6.8923633292778119E-3</v>
      </c>
    </row>
    <row r="31" spans="1:34" ht="15" thickBot="1" x14ac:dyDescent="0.35">
      <c r="A31" s="11" t="s">
        <v>65</v>
      </c>
      <c r="B31" s="11">
        <v>-64123.421020000002</v>
      </c>
      <c r="C31" s="11">
        <f t="shared" si="3"/>
        <v>-3.7551365000003614</v>
      </c>
      <c r="D31" s="11">
        <v>0.2395859999887815</v>
      </c>
      <c r="E31" s="11">
        <v>2</v>
      </c>
      <c r="F31" s="11">
        <v>2</v>
      </c>
      <c r="G31" s="11">
        <v>1</v>
      </c>
      <c r="H31" s="11">
        <v>2</v>
      </c>
      <c r="I31" s="11">
        <v>2</v>
      </c>
      <c r="J31" s="11">
        <v>1</v>
      </c>
      <c r="K31" s="11">
        <v>0</v>
      </c>
      <c r="N31" s="3" t="s">
        <v>30</v>
      </c>
      <c r="O31" s="3">
        <v>-1.4981555143430698E-2</v>
      </c>
      <c r="P31" s="3">
        <v>4.2692482772732883E-3</v>
      </c>
      <c r="Q31" s="3">
        <v>-3.5091787055774644</v>
      </c>
      <c r="R31" s="3">
        <v>1.0499849231679144E-3</v>
      </c>
      <c r="S31" s="3">
        <v>-2.3585659688697188E-2</v>
      </c>
      <c r="T31" s="3">
        <v>-6.3774505981642089E-3</v>
      </c>
      <c r="U31" s="3">
        <v>-2.3585659688697188E-2</v>
      </c>
      <c r="V31" s="3">
        <v>-6.3774505981642089E-3</v>
      </c>
      <c r="W31" s="2"/>
      <c r="X31" s="15"/>
      <c r="Y31" s="15"/>
      <c r="Z31" s="3" t="s">
        <v>30</v>
      </c>
      <c r="AA31" s="3">
        <v>3.7333544439624188E-2</v>
      </c>
      <c r="AB31" s="3">
        <v>4.2429515399114395E-2</v>
      </c>
      <c r="AC31" s="3">
        <v>0.87989561248685455</v>
      </c>
      <c r="AD31" s="3">
        <v>0.38184330416327827</v>
      </c>
      <c r="AE31" s="3">
        <v>-4.7248148659629209E-2</v>
      </c>
      <c r="AF31" s="3">
        <v>0.12191523753887759</v>
      </c>
      <c r="AG31" s="3">
        <v>-4.7248148659629209E-2</v>
      </c>
      <c r="AH31" s="3">
        <v>0.12191523753887759</v>
      </c>
    </row>
    <row r="32" spans="1:34" x14ac:dyDescent="0.3">
      <c r="A32" s="11" t="s">
        <v>66</v>
      </c>
      <c r="B32" s="11">
        <v>-64123.388493999999</v>
      </c>
      <c r="C32" s="11">
        <f t="shared" si="3"/>
        <v>-3.7226104999976712</v>
      </c>
      <c r="D32" s="11">
        <v>0.27211199999147162</v>
      </c>
      <c r="E32" s="11">
        <v>3</v>
      </c>
      <c r="F32" s="11">
        <v>2</v>
      </c>
      <c r="G32" s="11">
        <v>1</v>
      </c>
      <c r="H32" s="11">
        <v>2</v>
      </c>
      <c r="I32" s="11">
        <v>1</v>
      </c>
      <c r="J32" s="11">
        <v>1</v>
      </c>
      <c r="K32" s="11">
        <v>0</v>
      </c>
      <c r="W32" s="2"/>
      <c r="X32" s="15"/>
      <c r="Y32" s="15"/>
    </row>
    <row r="33" spans="1:27" x14ac:dyDescent="0.3">
      <c r="A33" s="11" t="s">
        <v>67</v>
      </c>
      <c r="B33" s="11">
        <v>-64123.376656</v>
      </c>
      <c r="C33" s="11">
        <f t="shared" si="3"/>
        <v>-3.7107724999991376</v>
      </c>
      <c r="D33" s="11">
        <v>0.28394999999000525</v>
      </c>
      <c r="E33" s="11">
        <v>3</v>
      </c>
      <c r="F33" s="11">
        <v>2</v>
      </c>
      <c r="G33" s="11">
        <v>1</v>
      </c>
      <c r="H33" s="11">
        <v>2</v>
      </c>
      <c r="I33" s="11">
        <v>1</v>
      </c>
      <c r="J33" s="11">
        <v>0</v>
      </c>
      <c r="K33" s="11">
        <v>0</v>
      </c>
      <c r="W33" s="15"/>
      <c r="X33" s="15"/>
      <c r="Y33" s="15"/>
    </row>
    <row r="34" spans="1:27" x14ac:dyDescent="0.3">
      <c r="A34" s="11" t="s">
        <v>68</v>
      </c>
      <c r="B34" s="11">
        <v>-64123.293799999999</v>
      </c>
      <c r="C34" s="11">
        <f t="shared" si="3"/>
        <v>-3.6279164999982356</v>
      </c>
      <c r="D34" s="11">
        <v>0.36680599999090724</v>
      </c>
      <c r="E34" s="11">
        <v>4</v>
      </c>
      <c r="F34" s="11">
        <v>2</v>
      </c>
      <c r="G34" s="11">
        <v>2</v>
      </c>
      <c r="H34" s="11">
        <v>2</v>
      </c>
      <c r="I34" s="11">
        <v>0</v>
      </c>
      <c r="J34" s="11">
        <v>0</v>
      </c>
      <c r="K34" s="11">
        <v>0</v>
      </c>
      <c r="W34" s="15"/>
      <c r="X34" s="15"/>
      <c r="Y34" s="15"/>
    </row>
    <row r="35" spans="1:27" x14ac:dyDescent="0.3">
      <c r="A35" s="11" t="s">
        <v>69</v>
      </c>
      <c r="B35" s="11">
        <v>-64123.533239999997</v>
      </c>
      <c r="C35" s="11">
        <f t="shared" si="3"/>
        <v>-3.8673564999957932</v>
      </c>
      <c r="D35" s="11">
        <v>0.12736599999334963</v>
      </c>
      <c r="E35" s="11">
        <v>0</v>
      </c>
      <c r="F35" s="11">
        <v>3</v>
      </c>
      <c r="G35" s="11">
        <v>2</v>
      </c>
      <c r="H35" s="11">
        <v>3</v>
      </c>
      <c r="I35" s="11">
        <v>0</v>
      </c>
      <c r="J35" s="11">
        <v>1</v>
      </c>
      <c r="K35" s="11">
        <v>0</v>
      </c>
      <c r="N35" t="s">
        <v>0</v>
      </c>
      <c r="W35" s="15"/>
      <c r="X35" s="15"/>
      <c r="Y35" s="15"/>
      <c r="Z35" s="15"/>
      <c r="AA35" s="15"/>
    </row>
    <row r="36" spans="1:27" ht="15" thickBot="1" x14ac:dyDescent="0.35">
      <c r="A36" s="11" t="s">
        <v>70</v>
      </c>
      <c r="B36" s="11">
        <v>-64123.557480000003</v>
      </c>
      <c r="C36" s="11">
        <f t="shared" si="3"/>
        <v>-3.8915965000018957</v>
      </c>
      <c r="D36" s="11">
        <v>0.10312599998724714</v>
      </c>
      <c r="E36" s="11">
        <v>0</v>
      </c>
      <c r="F36" s="11">
        <v>2</v>
      </c>
      <c r="G36" s="11">
        <v>1</v>
      </c>
      <c r="H36" s="11">
        <v>4</v>
      </c>
      <c r="I36" s="11">
        <v>0</v>
      </c>
      <c r="J36" s="11">
        <v>1</v>
      </c>
      <c r="K36" s="11">
        <v>1</v>
      </c>
      <c r="W36" s="15"/>
      <c r="X36" s="15"/>
      <c r="Y36" s="15"/>
      <c r="Z36" s="15"/>
      <c r="AA36" s="15"/>
    </row>
    <row r="37" spans="1:27" x14ac:dyDescent="0.3">
      <c r="A37" s="11" t="s">
        <v>71</v>
      </c>
      <c r="B37" s="11">
        <v>-64140.104765999997</v>
      </c>
      <c r="C37" s="11">
        <f>B37-$B$3-6*$R$4</f>
        <v>-4.6282219999955174</v>
      </c>
      <c r="D37" s="11">
        <v>0.16544499999145401</v>
      </c>
      <c r="E37" s="11">
        <v>0</v>
      </c>
      <c r="F37" s="11">
        <v>6</v>
      </c>
      <c r="G37" s="11">
        <v>0</v>
      </c>
      <c r="H37" s="11">
        <v>0</v>
      </c>
      <c r="I37" s="11">
        <v>0</v>
      </c>
      <c r="J37" s="11">
        <v>6</v>
      </c>
      <c r="K37" s="11">
        <v>0</v>
      </c>
      <c r="N37" s="5" t="s">
        <v>1</v>
      </c>
      <c r="O37" s="5"/>
      <c r="W37" s="15"/>
      <c r="X37" s="15"/>
      <c r="Y37" s="15"/>
      <c r="Z37" s="15"/>
      <c r="AA37" s="15"/>
    </row>
    <row r="38" spans="1:27" x14ac:dyDescent="0.3">
      <c r="A38" s="11" t="s">
        <v>72</v>
      </c>
      <c r="B38" s="11">
        <v>-64140.140529999997</v>
      </c>
      <c r="C38" s="11">
        <f>B38-$B$3-6*$R$4</f>
        <v>-4.6639859999957167</v>
      </c>
      <c r="D38" s="11">
        <v>0.12968099999125471</v>
      </c>
      <c r="E38" s="11">
        <v>0</v>
      </c>
      <c r="F38" s="11">
        <v>1</v>
      </c>
      <c r="G38" s="11">
        <v>2</v>
      </c>
      <c r="H38" s="11">
        <v>6</v>
      </c>
      <c r="I38" s="11">
        <v>0</v>
      </c>
      <c r="J38" s="11">
        <v>2</v>
      </c>
      <c r="K38" s="11">
        <v>2</v>
      </c>
      <c r="N38" s="2" t="s">
        <v>2</v>
      </c>
      <c r="O38" s="2">
        <v>0.99848835278412884</v>
      </c>
      <c r="W38" s="15"/>
      <c r="X38" s="15"/>
      <c r="Y38" s="15"/>
      <c r="Z38" s="15"/>
      <c r="AA38" s="15"/>
    </row>
    <row r="39" spans="1:27" x14ac:dyDescent="0.3">
      <c r="A39" s="11" t="s">
        <v>73</v>
      </c>
      <c r="B39" s="11">
        <v>-64140.175926000004</v>
      </c>
      <c r="C39" s="11">
        <f>B39-$B$3-6*$R$4</f>
        <v>-4.6993820000023021</v>
      </c>
      <c r="D39" s="11">
        <v>9.4284999984669327E-2</v>
      </c>
      <c r="E39" s="11">
        <v>0</v>
      </c>
      <c r="F39" s="11">
        <v>0</v>
      </c>
      <c r="G39" s="11">
        <v>0</v>
      </c>
      <c r="H39" s="11">
        <v>9</v>
      </c>
      <c r="I39" s="11">
        <v>0</v>
      </c>
      <c r="J39" s="11">
        <v>3</v>
      </c>
      <c r="K39" s="11">
        <v>3</v>
      </c>
      <c r="N39" s="2" t="s">
        <v>3</v>
      </c>
      <c r="O39" s="2">
        <v>0.99697899064556295</v>
      </c>
      <c r="W39" s="15"/>
      <c r="X39" s="15"/>
      <c r="Y39" s="15"/>
      <c r="Z39" s="15"/>
      <c r="AA39" s="15"/>
    </row>
    <row r="40" spans="1:27" x14ac:dyDescent="0.3">
      <c r="A40" s="11" t="s">
        <v>74</v>
      </c>
      <c r="B40" s="11">
        <v>-64140.092383000003</v>
      </c>
      <c r="C40" s="11">
        <f>B40-$B$3-6*$R$4</f>
        <v>-4.6158390000016567</v>
      </c>
      <c r="D40" s="11">
        <v>0.17782799998531473</v>
      </c>
      <c r="E40" s="11">
        <v>0</v>
      </c>
      <c r="F40" s="11">
        <v>3</v>
      </c>
      <c r="G40" s="11">
        <v>3</v>
      </c>
      <c r="H40" s="11">
        <v>6</v>
      </c>
      <c r="I40" s="11">
        <v>0</v>
      </c>
      <c r="J40" s="11">
        <v>0</v>
      </c>
      <c r="K40" s="11">
        <v>0</v>
      </c>
      <c r="N40" s="2" t="s">
        <v>4</v>
      </c>
      <c r="O40" s="2">
        <v>0.97497716374517718</v>
      </c>
      <c r="W40" s="15"/>
      <c r="X40" s="15"/>
      <c r="Y40" s="15"/>
      <c r="Z40" s="15"/>
      <c r="AA40" s="15"/>
    </row>
    <row r="41" spans="1:27" x14ac:dyDescent="0.3">
      <c r="A41" s="11" t="s">
        <v>75</v>
      </c>
      <c r="B41" s="11">
        <v>-64140.100874000003</v>
      </c>
      <c r="C41" s="11">
        <f>B41-$B$3-6*$R$4</f>
        <v>-4.6243300000021605</v>
      </c>
      <c r="D41" s="11">
        <v>0.16933699998481089</v>
      </c>
      <c r="E41" s="11">
        <v>0</v>
      </c>
      <c r="F41" s="11">
        <v>3</v>
      </c>
      <c r="G41" s="11">
        <v>3</v>
      </c>
      <c r="H41" s="11">
        <v>5</v>
      </c>
      <c r="I41" s="11">
        <v>0</v>
      </c>
      <c r="J41" s="11">
        <v>1</v>
      </c>
      <c r="K41" s="11">
        <v>1</v>
      </c>
      <c r="N41" s="2" t="s">
        <v>5</v>
      </c>
      <c r="O41" s="2">
        <v>1.8053566479029164E-2</v>
      </c>
      <c r="W41" s="15"/>
      <c r="X41" s="15"/>
      <c r="Y41" s="15"/>
      <c r="Z41" s="15"/>
      <c r="AA41" s="15"/>
    </row>
    <row r="42" spans="1:27" ht="15" thickBot="1" x14ac:dyDescent="0.35">
      <c r="A42" s="11" t="s">
        <v>76</v>
      </c>
      <c r="B42" s="11">
        <v>-64156.680456000002</v>
      </c>
      <c r="C42" s="11">
        <f>B42-$B$3-7*$R$4</f>
        <v>-5.3932515000006447</v>
      </c>
      <c r="D42" s="11">
        <v>0.19935999998415532</v>
      </c>
      <c r="E42" s="11">
        <v>0</v>
      </c>
      <c r="F42" s="11">
        <v>6</v>
      </c>
      <c r="G42" s="11">
        <v>1</v>
      </c>
      <c r="H42" s="11">
        <v>2</v>
      </c>
      <c r="I42" s="11">
        <v>0</v>
      </c>
      <c r="J42" s="11">
        <v>6</v>
      </c>
      <c r="K42" s="11">
        <v>1</v>
      </c>
      <c r="N42" s="3" t="s">
        <v>6</v>
      </c>
      <c r="O42" s="3">
        <v>51</v>
      </c>
      <c r="W42" s="15"/>
      <c r="X42" s="15"/>
      <c r="Y42" s="15"/>
      <c r="Z42" s="15"/>
      <c r="AA42" s="15"/>
    </row>
    <row r="43" spans="1:27" x14ac:dyDescent="0.3">
      <c r="A43" s="11" t="s">
        <v>77</v>
      </c>
      <c r="B43" s="11">
        <v>-64156.692351999998</v>
      </c>
      <c r="C43" s="11">
        <f>B43-$B$3-7*$R$4</f>
        <v>-5.4051474999969855</v>
      </c>
      <c r="D43" s="11">
        <v>0.18746399998781449</v>
      </c>
      <c r="E43" s="11">
        <v>0</v>
      </c>
      <c r="F43" s="11">
        <v>2</v>
      </c>
      <c r="G43" s="11">
        <v>3</v>
      </c>
      <c r="H43" s="11">
        <v>7</v>
      </c>
      <c r="I43" s="11">
        <v>0</v>
      </c>
      <c r="J43" s="11">
        <v>2</v>
      </c>
      <c r="K43" s="11">
        <v>2</v>
      </c>
      <c r="W43" s="15"/>
      <c r="X43" s="15"/>
      <c r="Y43" s="15"/>
      <c r="Z43" s="15"/>
      <c r="AA43" s="15"/>
    </row>
    <row r="44" spans="1:27" ht="15" thickBot="1" x14ac:dyDescent="0.35">
      <c r="A44" s="11" t="s">
        <v>78</v>
      </c>
      <c r="B44" s="11">
        <v>-64156.644838</v>
      </c>
      <c r="C44" s="11">
        <f>B44-$B$3-7*$R$4</f>
        <v>-5.3576334999989399</v>
      </c>
      <c r="D44" s="11">
        <v>0.23497799998586011</v>
      </c>
      <c r="E44" s="11">
        <v>0</v>
      </c>
      <c r="F44" s="11">
        <v>4</v>
      </c>
      <c r="G44" s="11">
        <v>4</v>
      </c>
      <c r="H44" s="11">
        <v>7</v>
      </c>
      <c r="I44" s="11">
        <v>0</v>
      </c>
      <c r="J44" s="11">
        <v>1</v>
      </c>
      <c r="K44" s="11">
        <v>1</v>
      </c>
      <c r="N44" t="s">
        <v>7</v>
      </c>
      <c r="W44" s="15"/>
      <c r="X44" s="15"/>
      <c r="Y44" s="15"/>
      <c r="Z44" s="15"/>
      <c r="AA44" s="15"/>
    </row>
    <row r="45" spans="1:27" x14ac:dyDescent="0.3">
      <c r="A45" s="11" t="s">
        <v>79</v>
      </c>
      <c r="B45" s="11">
        <v>-64173.216370000002</v>
      </c>
      <c r="C45" s="11">
        <f>B45-$B$3-8*$R$4</f>
        <v>-6.1185050000006953</v>
      </c>
      <c r="D45" s="11">
        <v>0.27305099998193327</v>
      </c>
      <c r="E45" s="11">
        <v>0</v>
      </c>
      <c r="F45" s="11">
        <v>5</v>
      </c>
      <c r="G45" s="11">
        <v>4</v>
      </c>
      <c r="H45" s="11">
        <v>8</v>
      </c>
      <c r="I45" s="11">
        <v>0</v>
      </c>
      <c r="J45" s="11">
        <v>2</v>
      </c>
      <c r="K45" s="11">
        <v>2</v>
      </c>
      <c r="N45" s="4"/>
      <c r="O45" s="4" t="s">
        <v>12</v>
      </c>
      <c r="P45" s="4" t="s">
        <v>13</v>
      </c>
      <c r="Q45" s="4" t="s">
        <v>14</v>
      </c>
      <c r="R45" s="4" t="s">
        <v>15</v>
      </c>
      <c r="S45" s="4" t="s">
        <v>16</v>
      </c>
      <c r="W45" s="15"/>
      <c r="X45" s="15"/>
      <c r="Y45" s="15"/>
      <c r="Z45" s="15"/>
      <c r="AA45" s="15"/>
    </row>
    <row r="46" spans="1:27" x14ac:dyDescent="0.3">
      <c r="A46" s="11" t="s">
        <v>80</v>
      </c>
      <c r="B46" s="11">
        <v>-64189.759487000003</v>
      </c>
      <c r="C46" s="11">
        <f>B46-$B$3-9*$R$4</f>
        <v>-6.8509615000017732</v>
      </c>
      <c r="D46" s="11">
        <v>0.33953899997868398</v>
      </c>
      <c r="E46" s="11">
        <v>0</v>
      </c>
      <c r="F46" s="11">
        <v>6</v>
      </c>
      <c r="G46" s="11">
        <v>6</v>
      </c>
      <c r="H46" s="11">
        <v>10</v>
      </c>
      <c r="I46" s="11">
        <v>0</v>
      </c>
      <c r="J46" s="11">
        <v>3</v>
      </c>
      <c r="K46" s="11">
        <v>3</v>
      </c>
      <c r="N46" s="2" t="s">
        <v>8</v>
      </c>
      <c r="O46" s="2">
        <v>5</v>
      </c>
      <c r="P46" s="2">
        <v>4.9478643798772515</v>
      </c>
      <c r="Q46" s="2">
        <v>0.98957287597545029</v>
      </c>
      <c r="R46" s="2">
        <v>3036.1397923072818</v>
      </c>
      <c r="S46" s="2">
        <v>1.0647477269542523E-55</v>
      </c>
      <c r="W46" s="15"/>
      <c r="X46" s="15"/>
      <c r="Y46" s="15"/>
      <c r="Z46" s="15"/>
      <c r="AA46" s="15"/>
    </row>
    <row r="47" spans="1:27" x14ac:dyDescent="0.3">
      <c r="A47" s="11" t="s">
        <v>81</v>
      </c>
      <c r="B47" s="11">
        <v>-64206.330829999999</v>
      </c>
      <c r="C47" s="11">
        <f>B47-$B$3-10*$R$4</f>
        <v>-7.6116439999977388</v>
      </c>
      <c r="D47" s="11">
        <v>0.37780099998054695</v>
      </c>
      <c r="E47" s="11">
        <v>0</v>
      </c>
      <c r="F47" s="11">
        <v>7</v>
      </c>
      <c r="G47" s="11">
        <v>6</v>
      </c>
      <c r="H47" s="11">
        <v>12</v>
      </c>
      <c r="I47" s="11">
        <v>0</v>
      </c>
      <c r="J47" s="11">
        <v>4</v>
      </c>
      <c r="K47" s="11">
        <v>4</v>
      </c>
      <c r="N47" s="2" t="s">
        <v>9</v>
      </c>
      <c r="O47" s="2">
        <v>46</v>
      </c>
      <c r="P47" s="2">
        <v>1.4992838080185368E-2</v>
      </c>
      <c r="Q47" s="2">
        <v>3.2593126261272541E-4</v>
      </c>
      <c r="R47" s="2"/>
      <c r="S47" s="2"/>
      <c r="W47" s="15"/>
      <c r="X47" s="15"/>
      <c r="Y47" s="15"/>
      <c r="Z47" s="15"/>
      <c r="AA47" s="15"/>
    </row>
    <row r="48" spans="1:27" ht="15" thickBot="1" x14ac:dyDescent="0.35">
      <c r="A48" s="11" t="s">
        <v>82</v>
      </c>
      <c r="B48" s="11">
        <v>-64222.867629</v>
      </c>
      <c r="C48" s="11">
        <f>B48-$B$3-11*$R$4</f>
        <v>-8.3377824999990935</v>
      </c>
      <c r="D48" s="11">
        <v>0.45060699997702081</v>
      </c>
      <c r="E48" s="11">
        <v>0</v>
      </c>
      <c r="F48" s="11">
        <v>8</v>
      </c>
      <c r="G48" s="11">
        <v>8</v>
      </c>
      <c r="H48" s="11">
        <v>15</v>
      </c>
      <c r="I48" s="11">
        <v>0</v>
      </c>
      <c r="J48" s="11">
        <v>5</v>
      </c>
      <c r="K48" s="11">
        <v>5</v>
      </c>
      <c r="N48" s="3" t="s">
        <v>10</v>
      </c>
      <c r="O48" s="3">
        <v>51</v>
      </c>
      <c r="P48" s="3">
        <v>4.9628572179574366</v>
      </c>
      <c r="Q48" s="3"/>
      <c r="R48" s="3"/>
      <c r="S48" s="3"/>
      <c r="W48" s="15"/>
      <c r="X48" s="15"/>
      <c r="Y48" s="15"/>
      <c r="Z48" s="15"/>
      <c r="AA48" s="15"/>
    </row>
    <row r="49" spans="1:27" ht="15" thickBot="1" x14ac:dyDescent="0.35">
      <c r="A49" s="11" t="s">
        <v>83</v>
      </c>
      <c r="B49" s="11">
        <v>-64239.428451</v>
      </c>
      <c r="C49" s="11">
        <f>B49-$B$3-12*$R$4</f>
        <v>-9.0879439999985436</v>
      </c>
      <c r="D49" s="11">
        <v>0.49938999997539923</v>
      </c>
      <c r="E49" s="11">
        <v>0</v>
      </c>
      <c r="F49" s="11">
        <v>9</v>
      </c>
      <c r="G49" s="11">
        <v>9</v>
      </c>
      <c r="H49" s="11">
        <v>18</v>
      </c>
      <c r="I49" s="11">
        <v>0</v>
      </c>
      <c r="J49" s="11">
        <v>6</v>
      </c>
      <c r="K49" s="11">
        <v>6</v>
      </c>
      <c r="W49" s="15"/>
      <c r="X49" s="15"/>
      <c r="Y49" s="15"/>
      <c r="Z49" s="15"/>
      <c r="AA49" s="15"/>
    </row>
    <row r="50" spans="1:27" x14ac:dyDescent="0.3">
      <c r="A50" s="11" t="s">
        <v>84</v>
      </c>
      <c r="B50" s="11">
        <v>-64255.982251000001</v>
      </c>
      <c r="C50" s="11">
        <f>B50-$B$3-13*$R$4</f>
        <v>-9.8310835000000623</v>
      </c>
      <c r="D50" s="11">
        <v>0.55519499997170918</v>
      </c>
      <c r="E50" s="11">
        <v>0</v>
      </c>
      <c r="F50" s="11">
        <v>10</v>
      </c>
      <c r="G50" s="11">
        <v>10</v>
      </c>
      <c r="H50" s="11">
        <v>20</v>
      </c>
      <c r="I50" s="11">
        <v>0</v>
      </c>
      <c r="J50" s="11">
        <v>8</v>
      </c>
      <c r="K50" s="11">
        <v>8</v>
      </c>
      <c r="N50" s="4"/>
      <c r="O50" s="4" t="s">
        <v>17</v>
      </c>
      <c r="P50" s="4" t="s">
        <v>5</v>
      </c>
      <c r="Q50" s="4" t="s">
        <v>18</v>
      </c>
      <c r="R50" s="4" t="s">
        <v>19</v>
      </c>
      <c r="S50" s="4" t="s">
        <v>20</v>
      </c>
      <c r="T50" s="4" t="s">
        <v>21</v>
      </c>
      <c r="U50" s="4" t="s">
        <v>22</v>
      </c>
      <c r="V50" s="4" t="s">
        <v>23</v>
      </c>
      <c r="W50" s="16"/>
      <c r="X50" s="15"/>
      <c r="Y50" s="15"/>
      <c r="Z50" s="15"/>
      <c r="AA50" s="15"/>
    </row>
    <row r="51" spans="1:27" x14ac:dyDescent="0.3">
      <c r="A51" s="11" t="s">
        <v>85</v>
      </c>
      <c r="B51" s="11">
        <v>-64272.532045</v>
      </c>
      <c r="C51" s="11">
        <f>B51-$B$3-14*$R$4</f>
        <v>-10.570216999998706</v>
      </c>
      <c r="D51" s="11">
        <v>0.61500599997089367</v>
      </c>
      <c r="E51" s="11">
        <v>0</v>
      </c>
      <c r="F51" s="11">
        <v>12</v>
      </c>
      <c r="G51" s="11">
        <v>11</v>
      </c>
      <c r="H51" s="11">
        <v>22</v>
      </c>
      <c r="I51" s="11">
        <v>0</v>
      </c>
      <c r="J51" s="11">
        <v>10</v>
      </c>
      <c r="K51" s="11">
        <v>10</v>
      </c>
      <c r="N51" s="2" t="s">
        <v>11</v>
      </c>
      <c r="O51" s="2">
        <v>0</v>
      </c>
      <c r="P51" s="2" t="e">
        <v>#N/A</v>
      </c>
      <c r="Q51" s="2" t="e">
        <v>#N/A</v>
      </c>
      <c r="R51" s="2" t="e">
        <v>#N/A</v>
      </c>
      <c r="S51" s="2" t="e">
        <v>#N/A</v>
      </c>
      <c r="T51" s="2" t="e">
        <v>#N/A</v>
      </c>
      <c r="U51" s="2" t="e">
        <v>#N/A</v>
      </c>
      <c r="V51" s="2" t="e">
        <v>#N/A</v>
      </c>
      <c r="W51" s="2"/>
      <c r="X51" s="15"/>
      <c r="Y51" s="15"/>
      <c r="Z51" s="15"/>
      <c r="AA51" s="15"/>
    </row>
    <row r="52" spans="1:27" x14ac:dyDescent="0.3">
      <c r="A52" s="11" t="s">
        <v>86</v>
      </c>
      <c r="B52" s="11">
        <v>-64289.054872000001</v>
      </c>
      <c r="C52" s="11">
        <f>B52-$B$3-15*$R$4</f>
        <v>-11.282383499999412</v>
      </c>
      <c r="D52" s="11">
        <v>0.70178399996801666</v>
      </c>
      <c r="E52" s="11">
        <v>0</v>
      </c>
      <c r="F52" s="11">
        <v>13</v>
      </c>
      <c r="G52" s="11">
        <v>13</v>
      </c>
      <c r="H52" s="11">
        <v>25</v>
      </c>
      <c r="I52" s="11">
        <v>0</v>
      </c>
      <c r="J52" s="11">
        <v>12</v>
      </c>
      <c r="K52" s="11">
        <v>12</v>
      </c>
      <c r="N52" s="2" t="s">
        <v>24</v>
      </c>
      <c r="O52" s="2">
        <v>6.3277963647027896E-2</v>
      </c>
      <c r="P52" s="2">
        <v>2.5528377380111523E-3</v>
      </c>
      <c r="Q52" s="2">
        <v>24.787303440729481</v>
      </c>
      <c r="R52" s="2">
        <v>2.9574265730052525E-28</v>
      </c>
      <c r="S52" s="2">
        <v>5.8139367799429811E-2</v>
      </c>
      <c r="T52" s="2">
        <v>6.8416559494625981E-2</v>
      </c>
      <c r="U52" s="2">
        <v>5.8139367799429811E-2</v>
      </c>
      <c r="V52" s="2">
        <v>6.8416559494625981E-2</v>
      </c>
      <c r="W52" s="2"/>
      <c r="X52" s="15"/>
      <c r="Y52" s="15"/>
      <c r="Z52" s="15"/>
      <c r="AA52" s="15"/>
    </row>
    <row r="53" spans="1:27" x14ac:dyDescent="0.3">
      <c r="A53" s="11" t="s">
        <v>87</v>
      </c>
      <c r="B53" s="11">
        <v>-64305.607302999997</v>
      </c>
      <c r="C53" s="11">
        <f>B53-$B$3-16*$R$4</f>
        <v>-12.024153999995832</v>
      </c>
      <c r="D53" s="11">
        <v>0.75895799996942515</v>
      </c>
      <c r="E53" s="11">
        <v>0</v>
      </c>
      <c r="F53" s="11">
        <v>15</v>
      </c>
      <c r="G53" s="11">
        <v>14</v>
      </c>
      <c r="H53" s="11">
        <v>28</v>
      </c>
      <c r="I53" s="11">
        <v>0</v>
      </c>
      <c r="J53" s="11">
        <v>14</v>
      </c>
      <c r="K53" s="11">
        <v>14</v>
      </c>
      <c r="N53" s="2" t="s">
        <v>25</v>
      </c>
      <c r="O53" s="2">
        <v>2.7995122301248069E-2</v>
      </c>
      <c r="P53" s="2">
        <v>1.9914450855753121E-3</v>
      </c>
      <c r="Q53" s="2">
        <v>14.057692328061613</v>
      </c>
      <c r="R53" s="2">
        <v>2.8883201139797386E-18</v>
      </c>
      <c r="S53" s="2">
        <v>2.3986551253003797E-2</v>
      </c>
      <c r="T53" s="2">
        <v>3.2003693349492345E-2</v>
      </c>
      <c r="U53" s="2">
        <v>2.3986551253003797E-2</v>
      </c>
      <c r="V53" s="2">
        <v>3.2003693349492345E-2</v>
      </c>
      <c r="W53" s="2"/>
      <c r="X53" s="15"/>
      <c r="Y53" s="15"/>
      <c r="Z53" s="15"/>
      <c r="AA53" s="15"/>
    </row>
    <row r="54" spans="1:27" x14ac:dyDescent="0.3">
      <c r="A54" s="11" t="s">
        <v>88</v>
      </c>
      <c r="B54" s="11">
        <v>-64322.127703999999</v>
      </c>
      <c r="C54" s="11">
        <f>B54-$B$3-17*$R$4</f>
        <v>-12.733894499997405</v>
      </c>
      <c r="D54" s="11">
        <v>0.84816199996568109</v>
      </c>
      <c r="E54" s="11">
        <v>0</v>
      </c>
      <c r="F54" s="11">
        <v>16</v>
      </c>
      <c r="G54" s="11">
        <v>16</v>
      </c>
      <c r="H54" s="11">
        <v>32</v>
      </c>
      <c r="I54" s="11">
        <v>0</v>
      </c>
      <c r="J54" s="11">
        <v>16</v>
      </c>
      <c r="K54" s="11">
        <v>16</v>
      </c>
      <c r="N54" s="2" t="s">
        <v>26</v>
      </c>
      <c r="O54" s="2">
        <v>7.1718879177695054E-3</v>
      </c>
      <c r="P54" s="2">
        <v>3.3953138113159741E-3</v>
      </c>
      <c r="Q54" s="2">
        <v>2.1122901494014736</v>
      </c>
      <c r="R54" s="2">
        <v>4.0121094549492899E-2</v>
      </c>
      <c r="S54" s="2">
        <v>3.3747569002122533E-4</v>
      </c>
      <c r="T54" s="2">
        <v>1.4006300145517785E-2</v>
      </c>
      <c r="U54" s="2">
        <v>3.3747569002122533E-4</v>
      </c>
      <c r="V54" s="2">
        <v>1.4006300145517785E-2</v>
      </c>
      <c r="W54" s="2"/>
      <c r="X54" s="15"/>
      <c r="Y54" s="15"/>
      <c r="Z54" s="15"/>
      <c r="AA54" s="15"/>
    </row>
    <row r="55" spans="1:27" x14ac:dyDescent="0.3">
      <c r="A55" s="11" t="s">
        <v>89</v>
      </c>
      <c r="B55" s="11">
        <v>-64338.647261999999</v>
      </c>
      <c r="C55" s="11">
        <f>B55-$B$3-18*$R$4</f>
        <v>-13.442791999997382</v>
      </c>
      <c r="D55" s="11">
        <v>0.93820899996353191</v>
      </c>
      <c r="E55" s="11">
        <v>0</v>
      </c>
      <c r="F55" s="11">
        <v>18</v>
      </c>
      <c r="G55" s="11">
        <v>18</v>
      </c>
      <c r="H55" s="11">
        <v>36</v>
      </c>
      <c r="I55" s="11">
        <v>0</v>
      </c>
      <c r="J55" s="11">
        <v>18</v>
      </c>
      <c r="K55" s="11">
        <v>18</v>
      </c>
      <c r="N55" s="2" t="s">
        <v>27</v>
      </c>
      <c r="O55" s="2">
        <v>9.5063780501094299E-3</v>
      </c>
      <c r="P55" s="2">
        <v>1.4114023809886894E-3</v>
      </c>
      <c r="Q55" s="2">
        <v>6.7354130743708955</v>
      </c>
      <c r="R55" s="2">
        <v>2.2744883475317788E-8</v>
      </c>
      <c r="S55" s="2">
        <v>6.6653724091128921E-3</v>
      </c>
      <c r="T55" s="2">
        <v>1.2347383691105968E-2</v>
      </c>
      <c r="U55" s="2">
        <v>6.6653724091128921E-3</v>
      </c>
      <c r="V55" s="2">
        <v>1.2347383691105968E-2</v>
      </c>
      <c r="W55" s="2"/>
      <c r="X55" s="15"/>
      <c r="Y55" s="15"/>
      <c r="Z55" s="15"/>
      <c r="AA55" s="15"/>
    </row>
    <row r="56" spans="1:27" ht="15" thickBot="1" x14ac:dyDescent="0.35">
      <c r="A56" s="11" t="s">
        <v>105</v>
      </c>
      <c r="B56">
        <v>-64353.736316000002</v>
      </c>
      <c r="C56" s="11">
        <f>B56-$B$3-19*$R$4</f>
        <v>-12.72118550000107</v>
      </c>
      <c r="D56">
        <f>C56-19*$C$4</f>
        <v>2.4587599999576728</v>
      </c>
      <c r="E56">
        <v>18</v>
      </c>
      <c r="F56" s="11">
        <v>11</v>
      </c>
      <c r="G56" s="11">
        <v>9</v>
      </c>
      <c r="H56" s="11">
        <v>19</v>
      </c>
      <c r="I56" s="11">
        <v>37</v>
      </c>
      <c r="J56" s="11">
        <v>10</v>
      </c>
      <c r="K56" s="11">
        <v>11</v>
      </c>
      <c r="N56" s="3" t="s">
        <v>28</v>
      </c>
      <c r="O56" s="3">
        <v>1.0520900568583662E-2</v>
      </c>
      <c r="P56" s="3">
        <v>3.5999107536777075E-3</v>
      </c>
      <c r="Q56" s="3">
        <v>2.922544831933791</v>
      </c>
      <c r="R56" s="3">
        <v>5.3680896158771101E-3</v>
      </c>
      <c r="S56" s="3">
        <v>3.2746560560030771E-3</v>
      </c>
      <c r="T56" s="3">
        <v>1.7767145081164247E-2</v>
      </c>
      <c r="U56" s="3">
        <v>3.2746560560030771E-3</v>
      </c>
      <c r="V56" s="3">
        <v>1.7767145081164247E-2</v>
      </c>
      <c r="W56" s="15"/>
      <c r="X56" s="15"/>
      <c r="Y56" s="15"/>
      <c r="Z56" s="15"/>
      <c r="AA56" s="15"/>
    </row>
    <row r="57" spans="1:27" x14ac:dyDescent="0.3">
      <c r="A57" s="26" t="s">
        <v>106</v>
      </c>
      <c r="B57">
        <v>-64354.850614000003</v>
      </c>
      <c r="C57" s="11">
        <f t="shared" ref="C57" si="4">B57-$B$3-19*$R$4</f>
        <v>-13.835483500001487</v>
      </c>
      <c r="D57">
        <f t="shared" ref="D57" si="5">C57-19*$C$4</f>
        <v>1.3444619999572556</v>
      </c>
      <c r="E57">
        <v>4</v>
      </c>
      <c r="F57" s="11">
        <v>18</v>
      </c>
      <c r="G57" s="11">
        <v>18</v>
      </c>
      <c r="H57" s="11">
        <v>36</v>
      </c>
      <c r="I57" s="11">
        <v>8</v>
      </c>
      <c r="J57" s="11">
        <v>18</v>
      </c>
      <c r="K57" s="11">
        <v>18</v>
      </c>
      <c r="W57" s="15"/>
      <c r="X57" s="15"/>
      <c r="Y57" s="15"/>
      <c r="Z57" s="15"/>
      <c r="AA57" s="15"/>
    </row>
    <row r="58" spans="1:27" x14ac:dyDescent="0.3">
      <c r="A58" s="26" t="s">
        <v>107</v>
      </c>
      <c r="B58">
        <v>-64371.048871999999</v>
      </c>
      <c r="C58" s="11">
        <f>B58-$B$3-20*$R$4</f>
        <v>-14.22308099999816</v>
      </c>
      <c r="D58">
        <f>C58-20*$C$4</f>
        <v>1.7558089999584112</v>
      </c>
      <c r="E58" s="11">
        <v>8</v>
      </c>
      <c r="F58" s="11">
        <v>18</v>
      </c>
      <c r="G58" s="11">
        <v>18</v>
      </c>
      <c r="H58" s="11">
        <v>36</v>
      </c>
      <c r="I58" s="11">
        <v>16</v>
      </c>
      <c r="J58" s="11">
        <v>18</v>
      </c>
      <c r="K58" s="11">
        <v>18</v>
      </c>
      <c r="W58" s="15"/>
      <c r="X58" s="15"/>
      <c r="Y58" s="15"/>
      <c r="Z58" s="15"/>
      <c r="AA58" s="15"/>
    </row>
    <row r="59" spans="1:27" x14ac:dyDescent="0.3">
      <c r="A59" t="s">
        <v>96</v>
      </c>
      <c r="B59">
        <v>-64386.647809000002</v>
      </c>
      <c r="C59" s="11">
        <f>B59-$B$3-21*$R$4</f>
        <v>-14.011357500000656</v>
      </c>
      <c r="D59">
        <f>C59-21*$C$4</f>
        <v>2.7664769999537455</v>
      </c>
      <c r="E59" s="11">
        <v>22</v>
      </c>
      <c r="F59" s="11">
        <v>10</v>
      </c>
      <c r="G59" s="11">
        <v>14</v>
      </c>
      <c r="H59" s="11">
        <v>19</v>
      </c>
      <c r="I59" s="11">
        <v>51</v>
      </c>
      <c r="J59" s="11">
        <v>17</v>
      </c>
      <c r="K59" s="11">
        <v>10</v>
      </c>
      <c r="W59" s="15"/>
      <c r="X59" s="15"/>
      <c r="Y59" s="15"/>
      <c r="Z59" s="15"/>
      <c r="AA59" s="15"/>
    </row>
    <row r="60" spans="1:27" x14ac:dyDescent="0.3">
      <c r="A60" s="26" t="s">
        <v>108</v>
      </c>
      <c r="B60">
        <v>-64387.175080000001</v>
      </c>
      <c r="C60" s="11">
        <f>B60-$B$3-21*$R$4</f>
        <v>-14.538628499999675</v>
      </c>
      <c r="D60">
        <f>C60-21*$C$4</f>
        <v>2.2392059999547271</v>
      </c>
      <c r="E60" s="11">
        <v>12</v>
      </c>
      <c r="F60" s="11">
        <v>18</v>
      </c>
      <c r="G60" s="11">
        <v>19</v>
      </c>
      <c r="H60" s="11">
        <v>36</v>
      </c>
      <c r="I60" s="11">
        <v>24</v>
      </c>
      <c r="J60" s="11">
        <v>18</v>
      </c>
      <c r="K60" s="11">
        <v>19</v>
      </c>
      <c r="W60" s="15"/>
      <c r="X60" s="15"/>
      <c r="Y60" s="15"/>
      <c r="Z60" s="15"/>
      <c r="AA60" s="15"/>
    </row>
    <row r="61" spans="1:27" x14ac:dyDescent="0.3">
      <c r="A61" s="26" t="s">
        <v>109</v>
      </c>
      <c r="B61">
        <v>-64403.202340999997</v>
      </c>
      <c r="C61" s="11">
        <f>B61-$B$3-22*$R$4</f>
        <v>-14.755228999995325</v>
      </c>
      <c r="D61">
        <f>C61-22*$C$4</f>
        <v>2.821549999956904</v>
      </c>
      <c r="E61" s="11">
        <v>16</v>
      </c>
      <c r="F61" s="11">
        <v>18</v>
      </c>
      <c r="G61" s="11">
        <v>19</v>
      </c>
      <c r="H61" s="11">
        <v>37</v>
      </c>
      <c r="I61" s="11">
        <v>32</v>
      </c>
      <c r="J61" s="11">
        <v>18</v>
      </c>
      <c r="K61" s="11">
        <v>19</v>
      </c>
      <c r="W61" s="15"/>
      <c r="X61" s="15"/>
      <c r="Y61" s="15"/>
      <c r="Z61" s="15"/>
      <c r="AA61" s="15"/>
    </row>
    <row r="62" spans="1:27" x14ac:dyDescent="0.3">
      <c r="A62" s="26" t="s">
        <v>110</v>
      </c>
      <c r="B62">
        <v>-64419.298430000003</v>
      </c>
      <c r="C62" s="11">
        <f>B62-$B$3-23*$R$4</f>
        <v>-15.040657500001373</v>
      </c>
      <c r="D62">
        <f>C62-23*$C$4</f>
        <v>3.3350659999486822</v>
      </c>
      <c r="E62" s="11">
        <v>20</v>
      </c>
      <c r="F62" s="11">
        <v>18</v>
      </c>
      <c r="G62" s="11">
        <v>19</v>
      </c>
      <c r="H62" s="11">
        <v>38</v>
      </c>
      <c r="I62" s="11">
        <v>40</v>
      </c>
      <c r="J62" s="11">
        <v>19</v>
      </c>
      <c r="K62" s="11">
        <v>19</v>
      </c>
      <c r="W62" s="15"/>
      <c r="X62" s="15"/>
      <c r="Y62" s="15"/>
      <c r="Z62" s="15"/>
      <c r="AA62" s="15"/>
    </row>
    <row r="63" spans="1:27" x14ac:dyDescent="0.3">
      <c r="A63" t="s">
        <v>97</v>
      </c>
      <c r="B63">
        <v>-64434.027554</v>
      </c>
      <c r="C63" s="11">
        <f>B63-$B$3-24*$R$4</f>
        <v>-13.959120999999016</v>
      </c>
      <c r="D63">
        <f>C63-24*$C$4</f>
        <v>5.2155469999488702</v>
      </c>
      <c r="E63" s="11">
        <v>35</v>
      </c>
      <c r="F63" s="11">
        <v>16</v>
      </c>
      <c r="G63" s="11">
        <v>16</v>
      </c>
      <c r="H63" s="11">
        <v>31</v>
      </c>
      <c r="I63" s="11">
        <v>62</v>
      </c>
      <c r="J63" s="11">
        <v>15</v>
      </c>
      <c r="K63" s="11">
        <v>17</v>
      </c>
      <c r="W63" s="15"/>
      <c r="X63" s="15"/>
      <c r="Y63" s="15"/>
      <c r="Z63" s="15"/>
      <c r="AA63" s="15"/>
    </row>
    <row r="64" spans="1:27" x14ac:dyDescent="0.3">
      <c r="A64" s="26" t="s">
        <v>111</v>
      </c>
      <c r="B64">
        <v>-64435.361467000002</v>
      </c>
      <c r="C64" s="11">
        <f>B64-$B$3-24*$R$4</f>
        <v>-15.293034000001228</v>
      </c>
      <c r="D64">
        <f>C64-24*$C$4</f>
        <v>3.8816339999466578</v>
      </c>
      <c r="E64" s="11">
        <v>24</v>
      </c>
      <c r="F64" s="11">
        <v>19</v>
      </c>
      <c r="G64" s="11">
        <v>20</v>
      </c>
      <c r="H64" s="11">
        <v>39</v>
      </c>
      <c r="I64" s="11">
        <v>48</v>
      </c>
      <c r="J64" s="11">
        <v>19</v>
      </c>
      <c r="K64" s="11">
        <v>20</v>
      </c>
      <c r="W64" s="15"/>
      <c r="X64" s="15"/>
      <c r="Y64" s="15"/>
      <c r="Z64" s="15"/>
      <c r="AA64" s="15"/>
    </row>
    <row r="65" spans="1:27" ht="15" thickBot="1" x14ac:dyDescent="0.35">
      <c r="A65" s="26" t="s">
        <v>112</v>
      </c>
      <c r="B65">
        <v>-64451.440687000002</v>
      </c>
      <c r="C65" s="11">
        <f>B65-$B$3-25*$R$4</f>
        <v>-15.561593500000868</v>
      </c>
      <c r="D65">
        <f>C65-25*$C$4</f>
        <v>4.4120189999448485</v>
      </c>
      <c r="E65" s="11">
        <v>28</v>
      </c>
      <c r="F65" s="11">
        <v>19</v>
      </c>
      <c r="G65" s="11">
        <v>21</v>
      </c>
      <c r="H65" s="11">
        <v>41</v>
      </c>
      <c r="I65" s="11">
        <v>56</v>
      </c>
      <c r="J65" s="11">
        <v>20</v>
      </c>
      <c r="K65" s="11">
        <v>20</v>
      </c>
      <c r="N65" t="s">
        <v>91</v>
      </c>
      <c r="W65" s="15"/>
      <c r="X65" s="15"/>
      <c r="Y65" s="15"/>
      <c r="Z65" s="15"/>
      <c r="AA65" s="15"/>
    </row>
    <row r="66" spans="1:27" x14ac:dyDescent="0.3">
      <c r="A66" t="s">
        <v>98</v>
      </c>
      <c r="B66">
        <v>-64466.065038000001</v>
      </c>
      <c r="C66" s="11">
        <f>B66-$B$3-26*$R$4</f>
        <v>-14.375283999999453</v>
      </c>
      <c r="D66">
        <f>C66-26*$C$4</f>
        <v>6.3972729999440894</v>
      </c>
      <c r="E66" s="11">
        <v>37</v>
      </c>
      <c r="F66" s="11">
        <v>19</v>
      </c>
      <c r="G66" s="11">
        <v>19</v>
      </c>
      <c r="H66" s="11">
        <v>36</v>
      </c>
      <c r="I66" s="11">
        <v>75</v>
      </c>
      <c r="J66" s="11">
        <v>18</v>
      </c>
      <c r="K66" s="11">
        <v>19</v>
      </c>
      <c r="N66" s="4" t="s">
        <v>92</v>
      </c>
      <c r="O66" s="4" t="s">
        <v>94</v>
      </c>
      <c r="P66" s="4" t="s">
        <v>93</v>
      </c>
      <c r="W66" s="15"/>
      <c r="X66" s="15"/>
      <c r="Y66" s="15"/>
      <c r="Z66" s="15"/>
      <c r="AA66" s="15"/>
    </row>
    <row r="67" spans="1:27" x14ac:dyDescent="0.3">
      <c r="A67" s="27" t="s">
        <v>113</v>
      </c>
      <c r="B67">
        <v>-64467.443492999999</v>
      </c>
      <c r="C67" s="11">
        <f>B67-$B$3-26*$R$4</f>
        <v>-15.753738999997665</v>
      </c>
      <c r="D67">
        <f t="shared" ref="D67" si="6">C67-26*$C$4</f>
        <v>5.0188179999458775</v>
      </c>
      <c r="E67" s="11">
        <v>32</v>
      </c>
      <c r="F67" s="11">
        <v>20</v>
      </c>
      <c r="G67" s="11">
        <v>22</v>
      </c>
      <c r="H67" s="11">
        <v>43</v>
      </c>
      <c r="I67" s="11">
        <v>64</v>
      </c>
      <c r="J67" s="11">
        <v>21</v>
      </c>
      <c r="K67" s="11">
        <v>20</v>
      </c>
      <c r="N67" s="2">
        <v>1</v>
      </c>
      <c r="O67" s="2">
        <v>7.1718879177695054E-3</v>
      </c>
      <c r="P67" s="2">
        <v>2.0011208226262522E-4</v>
      </c>
      <c r="W67" s="15"/>
      <c r="X67" s="15"/>
      <c r="Y67" s="15"/>
      <c r="Z67" s="15"/>
      <c r="AA67" s="15"/>
    </row>
    <row r="68" spans="1:27" x14ac:dyDescent="0.3">
      <c r="A68" s="27" t="s">
        <v>114</v>
      </c>
      <c r="B68">
        <v>-64483.411563000001</v>
      </c>
      <c r="C68" s="11">
        <f>B68-$B$3-27*$R$4</f>
        <v>-15.911148500000252</v>
      </c>
      <c r="D68">
        <f>C68-27*$C$4</f>
        <v>5.660352999941118</v>
      </c>
      <c r="E68" s="11">
        <v>36</v>
      </c>
      <c r="F68" s="11">
        <v>21</v>
      </c>
      <c r="G68" s="11">
        <v>22</v>
      </c>
      <c r="H68" s="11">
        <v>46</v>
      </c>
      <c r="I68" s="11">
        <v>72</v>
      </c>
      <c r="J68" s="11">
        <v>21</v>
      </c>
      <c r="K68" s="11">
        <v>21</v>
      </c>
      <c r="N68" s="2">
        <v>2</v>
      </c>
      <c r="O68" s="2">
        <v>2.7995122301248069E-2</v>
      </c>
      <c r="P68" s="2">
        <v>7.9918776944091739E-3</v>
      </c>
      <c r="W68" s="15"/>
      <c r="X68" s="15"/>
      <c r="Y68" s="15"/>
      <c r="Z68" s="15"/>
      <c r="AA68" s="15"/>
    </row>
    <row r="69" spans="1:27" x14ac:dyDescent="0.3">
      <c r="A69" s="29" t="s">
        <v>116</v>
      </c>
      <c r="B69">
        <v>-64482.939120000003</v>
      </c>
      <c r="C69" s="11">
        <f>B69-$B$3-27*$R$4</f>
        <v>-15.438705500001504</v>
      </c>
      <c r="D69">
        <f>C69-27*$C$4</f>
        <v>6.1327959999398658</v>
      </c>
      <c r="E69">
        <v>36</v>
      </c>
      <c r="F69">
        <v>18</v>
      </c>
      <c r="G69">
        <v>18</v>
      </c>
      <c r="H69">
        <v>54</v>
      </c>
      <c r="I69">
        <v>72</v>
      </c>
      <c r="J69">
        <v>27</v>
      </c>
      <c r="K69">
        <v>27</v>
      </c>
      <c r="N69" s="2">
        <v>3</v>
      </c>
      <c r="O69" s="2">
        <v>6.3277963647027896E-2</v>
      </c>
      <c r="P69" s="2">
        <v>-1.5166963650603243E-2</v>
      </c>
      <c r="W69" s="15"/>
      <c r="X69" s="15"/>
      <c r="Y69" s="15"/>
      <c r="Z69" s="15"/>
      <c r="AA69" s="15"/>
    </row>
    <row r="70" spans="1:27" x14ac:dyDescent="0.3">
      <c r="A70" t="s">
        <v>99</v>
      </c>
      <c r="B70">
        <v>-64499.213665000003</v>
      </c>
      <c r="C70" s="11">
        <f>B70-$B$3-28*$R$4</f>
        <v>-15.902590000001737</v>
      </c>
      <c r="D70">
        <f>C70-28*$C$4</f>
        <v>6.4678559999374627</v>
      </c>
      <c r="E70" s="11">
        <v>41</v>
      </c>
      <c r="F70" s="11">
        <v>22</v>
      </c>
      <c r="G70" s="11">
        <v>21</v>
      </c>
      <c r="H70" s="11">
        <v>44</v>
      </c>
      <c r="I70" s="11">
        <v>90</v>
      </c>
      <c r="J70" s="11">
        <v>22</v>
      </c>
      <c r="K70" s="11">
        <v>20</v>
      </c>
      <c r="N70" s="2">
        <v>4</v>
      </c>
      <c r="O70" s="2">
        <v>9.5063780501094299E-3</v>
      </c>
      <c r="P70" s="2">
        <v>-4.0573780535213301E-3</v>
      </c>
      <c r="W70" s="15"/>
      <c r="X70" s="15"/>
      <c r="Y70" s="15"/>
      <c r="Z70" s="15"/>
      <c r="AA70" s="15"/>
    </row>
    <row r="71" spans="1:27" x14ac:dyDescent="0.3">
      <c r="A71" s="27" t="s">
        <v>115</v>
      </c>
      <c r="B71">
        <v>-64499.238949999999</v>
      </c>
      <c r="C71" s="11">
        <f>B71-$B$3-28*$R$4</f>
        <v>-15.927874999997812</v>
      </c>
      <c r="D71">
        <f>C71-28*$C$4</f>
        <v>6.4425709999413883</v>
      </c>
      <c r="E71">
        <v>40</v>
      </c>
      <c r="F71">
        <v>22</v>
      </c>
      <c r="G71">
        <v>22</v>
      </c>
      <c r="H71">
        <v>49</v>
      </c>
      <c r="I71">
        <v>80</v>
      </c>
      <c r="J71" s="28">
        <v>22</v>
      </c>
      <c r="K71" s="28">
        <v>22</v>
      </c>
      <c r="N71" s="2">
        <v>5</v>
      </c>
      <c r="O71" s="2">
        <v>0</v>
      </c>
      <c r="P71" s="2">
        <v>5.4769999987911433E-3</v>
      </c>
      <c r="W71" s="15"/>
      <c r="X71" s="15"/>
      <c r="Y71" s="15"/>
      <c r="Z71" s="15"/>
      <c r="AA71" s="15"/>
    </row>
    <row r="72" spans="1:27" x14ac:dyDescent="0.3">
      <c r="A72" s="29" t="s">
        <v>117</v>
      </c>
      <c r="B72">
        <v>-64498.946602000004</v>
      </c>
      <c r="C72" s="11">
        <f>B72-$B$3-28*$R$4</f>
        <v>-15.635527000002412</v>
      </c>
      <c r="D72">
        <f>C72-28*$C$4</f>
        <v>6.734918999936788</v>
      </c>
      <c r="E72">
        <v>40</v>
      </c>
      <c r="F72">
        <v>20</v>
      </c>
      <c r="G72">
        <v>20</v>
      </c>
      <c r="H72">
        <v>54</v>
      </c>
      <c r="I72">
        <v>80</v>
      </c>
      <c r="J72">
        <v>27</v>
      </c>
      <c r="K72">
        <v>27</v>
      </c>
      <c r="N72" s="2">
        <v>6</v>
      </c>
      <c r="O72" s="2">
        <v>1.0520900568583662E-2</v>
      </c>
      <c r="P72" s="2">
        <v>4.4809942680070283E-4</v>
      </c>
      <c r="W72" s="15"/>
      <c r="X72" s="15"/>
      <c r="Y72" s="15"/>
      <c r="Z72" s="15"/>
      <c r="AA72" s="15"/>
    </row>
    <row r="73" spans="1:27" x14ac:dyDescent="0.3">
      <c r="A73" s="29" t="s">
        <v>118</v>
      </c>
      <c r="B73">
        <v>-64514.935187000003</v>
      </c>
      <c r="C73" s="11">
        <f>B73-$B$3-29*$R$4</f>
        <v>-15.813451500001577</v>
      </c>
      <c r="D73">
        <f>C73-29*$C$4</f>
        <v>7.3559389999354536</v>
      </c>
      <c r="E73">
        <v>44</v>
      </c>
      <c r="F73">
        <v>22</v>
      </c>
      <c r="G73">
        <v>22</v>
      </c>
      <c r="H73">
        <v>54</v>
      </c>
      <c r="I73">
        <v>88</v>
      </c>
      <c r="J73">
        <v>27</v>
      </c>
      <c r="K73">
        <v>28</v>
      </c>
      <c r="N73" s="2">
        <v>7</v>
      </c>
      <c r="O73" s="2">
        <v>0</v>
      </c>
      <c r="P73" s="2">
        <v>1.1703999996825587E-2</v>
      </c>
      <c r="W73" s="15"/>
      <c r="X73" s="15"/>
      <c r="Y73" s="15"/>
      <c r="Z73" s="15"/>
      <c r="AA73" s="15"/>
    </row>
    <row r="74" spans="1:27" x14ac:dyDescent="0.3">
      <c r="A74" t="s">
        <v>100</v>
      </c>
      <c r="B74">
        <v>-64531.031221999998</v>
      </c>
      <c r="C74" s="11">
        <f>B74-$B$3-30*$R$4</f>
        <v>-16.09882599999662</v>
      </c>
      <c r="D74">
        <f>C74-30*$C$4</f>
        <v>7.8695089999382368</v>
      </c>
      <c r="E74" s="11">
        <v>49</v>
      </c>
      <c r="F74" s="11">
        <v>25</v>
      </c>
      <c r="G74" s="11">
        <v>26</v>
      </c>
      <c r="H74" s="11">
        <v>48</v>
      </c>
      <c r="I74" s="11">
        <v>100</v>
      </c>
      <c r="J74" s="11">
        <v>24</v>
      </c>
      <c r="K74" s="11">
        <v>26</v>
      </c>
      <c r="N74" s="2">
        <v>8</v>
      </c>
      <c r="O74" s="2">
        <v>4.4673388269127007E-2</v>
      </c>
      <c r="P74" s="2">
        <v>6.9856117278912777E-3</v>
      </c>
      <c r="W74" s="15"/>
      <c r="X74" s="15"/>
      <c r="Y74" s="15"/>
      <c r="Z74" s="15"/>
      <c r="AA74" s="15"/>
    </row>
    <row r="75" spans="1:27" x14ac:dyDescent="0.3">
      <c r="A75" s="29" t="s">
        <v>119</v>
      </c>
      <c r="B75">
        <v>-64530.899217999999</v>
      </c>
      <c r="C75" s="11">
        <f>B75-$B$3-30*$R$4</f>
        <v>-15.966821999997478</v>
      </c>
      <c r="D75">
        <f>C75-30*$C$4</f>
        <v>8.0015129999373791</v>
      </c>
      <c r="E75">
        <v>48</v>
      </c>
      <c r="F75">
        <v>24</v>
      </c>
      <c r="G75">
        <v>24</v>
      </c>
      <c r="H75">
        <v>54</v>
      </c>
      <c r="I75">
        <v>96</v>
      </c>
      <c r="J75">
        <v>27</v>
      </c>
      <c r="K75">
        <v>30</v>
      </c>
      <c r="N75" s="2">
        <v>9</v>
      </c>
      <c r="O75" s="2">
        <v>0.13606230534416522</v>
      </c>
      <c r="P75" s="2">
        <v>6.6586946523636559E-3</v>
      </c>
      <c r="W75" s="15"/>
      <c r="X75" s="15"/>
      <c r="Y75" s="15"/>
      <c r="Z75" s="15"/>
      <c r="AA75" s="15"/>
    </row>
    <row r="76" spans="1:27" x14ac:dyDescent="0.3">
      <c r="A76" t="s">
        <v>101</v>
      </c>
      <c r="B76">
        <v>-64546.910004999998</v>
      </c>
      <c r="C76" s="11">
        <f>B76-$B$3-31*$R$4</f>
        <v>-16.166948499996693</v>
      </c>
      <c r="D76">
        <f>C76-31*$C$4</f>
        <v>8.6003309999359914</v>
      </c>
      <c r="E76" s="11">
        <v>52</v>
      </c>
      <c r="F76" s="11">
        <v>26</v>
      </c>
      <c r="G76" s="11">
        <v>26</v>
      </c>
      <c r="H76" s="11">
        <v>52</v>
      </c>
      <c r="I76" s="11">
        <v>108</v>
      </c>
      <c r="J76" s="11">
        <v>27</v>
      </c>
      <c r="K76" s="11">
        <v>27</v>
      </c>
      <c r="N76" s="2">
        <v>10</v>
      </c>
      <c r="O76" s="2">
        <v>7.3798864215611562E-2</v>
      </c>
      <c r="P76" s="2">
        <v>-8.3528642223655997E-3</v>
      </c>
      <c r="W76" s="15"/>
      <c r="X76" s="15"/>
      <c r="Y76" s="15"/>
      <c r="Z76" s="15"/>
      <c r="AA76" s="15"/>
    </row>
    <row r="77" spans="1:27" x14ac:dyDescent="0.3">
      <c r="A77" s="29" t="s">
        <v>120</v>
      </c>
      <c r="B77">
        <v>-64546.692536000002</v>
      </c>
      <c r="C77" s="11">
        <f>B77-$B$3-31*$R$4</f>
        <v>-15.949479500001075</v>
      </c>
      <c r="D77">
        <f>C77-31*$C$4</f>
        <v>8.8177999999316086</v>
      </c>
      <c r="E77">
        <v>52</v>
      </c>
      <c r="F77">
        <v>26</v>
      </c>
      <c r="G77">
        <v>26</v>
      </c>
      <c r="H77">
        <v>56</v>
      </c>
      <c r="I77">
        <v>104</v>
      </c>
      <c r="J77">
        <v>28</v>
      </c>
      <c r="K77">
        <v>30</v>
      </c>
      <c r="N77" s="2">
        <v>11</v>
      </c>
      <c r="O77" s="2">
        <v>3.7501500351357499E-2</v>
      </c>
      <c r="P77" s="2">
        <v>5.9804996423178033E-3</v>
      </c>
      <c r="W77" s="15"/>
      <c r="X77" s="15"/>
      <c r="Y77" s="15"/>
      <c r="Z77" s="15"/>
      <c r="AA77" s="15"/>
    </row>
    <row r="78" spans="1:27" x14ac:dyDescent="0.3">
      <c r="A78" s="29" t="s">
        <v>121</v>
      </c>
      <c r="B78">
        <v>-64562.480585999998</v>
      </c>
      <c r="C78" s="11">
        <f>B78-$B$3-32*$R$4</f>
        <v>-15.926868999996657</v>
      </c>
      <c r="D78">
        <f>C78-32*$C$4</f>
        <v>9.6393549999338575</v>
      </c>
      <c r="E78">
        <v>56</v>
      </c>
      <c r="F78">
        <v>28</v>
      </c>
      <c r="G78">
        <v>28</v>
      </c>
      <c r="H78">
        <v>58</v>
      </c>
      <c r="I78">
        <v>112</v>
      </c>
      <c r="J78">
        <v>30</v>
      </c>
      <c r="K78">
        <v>30</v>
      </c>
      <c r="N78" s="2">
        <v>12</v>
      </c>
      <c r="O78" s="2">
        <v>2.1041801137167325E-2</v>
      </c>
      <c r="P78" s="2">
        <v>7.6411988596521221E-3</v>
      </c>
      <c r="W78" s="15"/>
      <c r="X78" s="15"/>
      <c r="Y78" s="15"/>
      <c r="Z78" s="15"/>
      <c r="AA78" s="15"/>
    </row>
    <row r="79" spans="1:27" x14ac:dyDescent="0.3">
      <c r="A79" t="s">
        <v>102</v>
      </c>
      <c r="B79">
        <v>-64578.184023000002</v>
      </c>
      <c r="C79" s="11">
        <f>B79-$B$3-33*$R$4</f>
        <v>-15.819645500000433</v>
      </c>
      <c r="D79">
        <f>C79-33*$C$4</f>
        <v>10.545522999927911</v>
      </c>
      <c r="E79" s="11">
        <v>60</v>
      </c>
      <c r="F79" s="11">
        <v>30</v>
      </c>
      <c r="G79" s="11">
        <v>31</v>
      </c>
      <c r="H79" s="11">
        <v>60</v>
      </c>
      <c r="I79" s="11">
        <v>121</v>
      </c>
      <c r="J79" s="11">
        <v>30</v>
      </c>
      <c r="K79" s="11">
        <v>30</v>
      </c>
      <c r="N79" s="2">
        <v>13</v>
      </c>
      <c r="O79" s="2">
        <v>5.5990244602496138E-2</v>
      </c>
      <c r="P79" s="2">
        <v>1.3313755394424358E-2</v>
      </c>
      <c r="W79" s="15"/>
      <c r="X79" s="15"/>
      <c r="Y79" s="15"/>
      <c r="Z79" s="15"/>
      <c r="AA79" s="15"/>
    </row>
    <row r="80" spans="1:27" x14ac:dyDescent="0.3">
      <c r="A80" s="29" t="s">
        <v>122</v>
      </c>
      <c r="B80">
        <v>-64578.127980999998</v>
      </c>
      <c r="C80" s="11">
        <f t="shared" ref="C80" si="7">B80-$B$3-33*$R$4</f>
        <v>-15.763603499996634</v>
      </c>
      <c r="D80">
        <f t="shared" ref="D80" si="8">C80-33*$C$4</f>
        <v>10.601564999931711</v>
      </c>
      <c r="E80">
        <v>60</v>
      </c>
      <c r="F80">
        <v>30</v>
      </c>
      <c r="G80">
        <v>30</v>
      </c>
      <c r="H80">
        <v>61</v>
      </c>
      <c r="I80">
        <v>120</v>
      </c>
      <c r="J80">
        <v>31</v>
      </c>
      <c r="K80">
        <v>31</v>
      </c>
      <c r="N80" s="2">
        <v>14</v>
      </c>
      <c r="O80" s="2">
        <v>2.851913415032829E-2</v>
      </c>
      <c r="P80" s="2">
        <v>-1.6957134157917258E-2</v>
      </c>
      <c r="W80" s="15"/>
      <c r="X80" s="15"/>
      <c r="Y80" s="15"/>
      <c r="Z80" s="15"/>
      <c r="AA80" s="15"/>
    </row>
    <row r="81" spans="1:27" x14ac:dyDescent="0.3">
      <c r="A81" s="29" t="s">
        <v>123</v>
      </c>
      <c r="B81">
        <v>-64593.719953</v>
      </c>
      <c r="C81" s="11">
        <f>B81-$B$3-34*$R$4</f>
        <v>-15.544914999998582</v>
      </c>
      <c r="D81">
        <f>C81-34*$C$4</f>
        <v>11.619197999927589</v>
      </c>
      <c r="E81">
        <v>64</v>
      </c>
      <c r="F81">
        <v>32</v>
      </c>
      <c r="G81">
        <v>32</v>
      </c>
      <c r="H81">
        <v>64</v>
      </c>
      <c r="I81">
        <v>128</v>
      </c>
      <c r="J81">
        <v>32</v>
      </c>
      <c r="K81">
        <v>33</v>
      </c>
      <c r="N81" s="2">
        <v>15</v>
      </c>
      <c r="O81" s="2">
        <v>8.2174888620484499E-2</v>
      </c>
      <c r="P81" s="2">
        <v>4.1571113711866836E-3</v>
      </c>
      <c r="W81" s="15"/>
      <c r="X81" s="15"/>
      <c r="Y81" s="15"/>
      <c r="Z81" s="15"/>
      <c r="AA81" s="15"/>
    </row>
    <row r="82" spans="1:27" x14ac:dyDescent="0.3">
      <c r="A82" t="s">
        <v>103</v>
      </c>
      <c r="B82">
        <v>-64609.211774000003</v>
      </c>
      <c r="C82" s="11">
        <f>B82-$B$3-35*$R$4</f>
        <v>-15.226075500001912</v>
      </c>
      <c r="D82">
        <f>C82-35*$C$4</f>
        <v>12.736981999922087</v>
      </c>
      <c r="E82" s="11">
        <v>68</v>
      </c>
      <c r="F82" s="11">
        <v>34</v>
      </c>
      <c r="G82" s="11">
        <v>34</v>
      </c>
      <c r="H82" s="11">
        <v>68</v>
      </c>
      <c r="I82" s="11">
        <v>136</v>
      </c>
      <c r="J82" s="11">
        <v>34</v>
      </c>
      <c r="K82" s="11">
        <v>34</v>
      </c>
      <c r="N82" s="2">
        <v>16</v>
      </c>
      <c r="O82" s="2">
        <v>0.18175021613176645</v>
      </c>
      <c r="P82" s="2">
        <v>-4.7468216139967212E-2</v>
      </c>
      <c r="W82" s="15"/>
      <c r="X82" s="15"/>
      <c r="Y82" s="15"/>
      <c r="Z82" s="15"/>
      <c r="AA82" s="15"/>
    </row>
    <row r="83" spans="1:27" x14ac:dyDescent="0.3">
      <c r="A83" t="s">
        <v>104</v>
      </c>
      <c r="B83">
        <v>-64624.653096000002</v>
      </c>
      <c r="C83" s="11">
        <f>B83-$B$3-36*$R$4</f>
        <v>-14.856737000000635</v>
      </c>
      <c r="D83">
        <f>C83-36*$C$4</f>
        <v>13.905264999921194</v>
      </c>
      <c r="E83" s="11">
        <v>72</v>
      </c>
      <c r="F83" s="11">
        <v>36</v>
      </c>
      <c r="G83" s="11">
        <v>36</v>
      </c>
      <c r="H83" s="11">
        <v>72</v>
      </c>
      <c r="I83" s="11">
        <v>144</v>
      </c>
      <c r="J83" s="11">
        <v>36</v>
      </c>
      <c r="K83" s="11">
        <v>36</v>
      </c>
      <c r="N83" s="2">
        <v>17</v>
      </c>
      <c r="O83" s="2">
        <v>8.2174888620484499E-2</v>
      </c>
      <c r="P83" s="2">
        <v>-1.1688886274172638E-3</v>
      </c>
      <c r="W83" s="15"/>
      <c r="X83" s="15"/>
      <c r="Y83" s="15"/>
      <c r="Z83" s="15"/>
      <c r="AA83" s="15"/>
    </row>
    <row r="84" spans="1:27" x14ac:dyDescent="0.3">
      <c r="N84" s="2">
        <v>18</v>
      </c>
      <c r="O84" s="2">
        <v>0.2345072792102107</v>
      </c>
      <c r="P84" s="2">
        <v>9.4172078230286838E-4</v>
      </c>
      <c r="W84" s="15"/>
      <c r="X84" s="15"/>
      <c r="Y84" s="15"/>
      <c r="Z84" s="15"/>
      <c r="AA84" s="15"/>
    </row>
    <row r="85" spans="1:27" x14ac:dyDescent="0.3">
      <c r="N85" s="2">
        <v>19</v>
      </c>
      <c r="O85" s="2">
        <v>7.2668510570375072E-2</v>
      </c>
      <c r="P85" s="2">
        <v>9.9024894213557146E-3</v>
      </c>
      <c r="W85" s="15"/>
      <c r="X85" s="15"/>
      <c r="Y85" s="15"/>
      <c r="Z85" s="15"/>
      <c r="AA85" s="15"/>
    </row>
    <row r="86" spans="1:27" x14ac:dyDescent="0.3">
      <c r="N86" s="2">
        <v>20</v>
      </c>
      <c r="O86" s="2">
        <v>0.17457832821399694</v>
      </c>
      <c r="P86" s="2">
        <v>4.1606717814060556E-3</v>
      </c>
      <c r="W86" s="15"/>
      <c r="X86" s="15"/>
      <c r="Y86" s="15"/>
      <c r="Z86" s="15"/>
      <c r="AA86" s="15"/>
    </row>
    <row r="87" spans="1:27" x14ac:dyDescent="0.3">
      <c r="N87" s="2">
        <v>21</v>
      </c>
      <c r="O87" s="2">
        <v>6.368614436934586E-2</v>
      </c>
      <c r="P87" s="2">
        <v>-5.7141443742846632E-3</v>
      </c>
      <c r="W87" s="15"/>
      <c r="X87" s="15"/>
      <c r="Y87" s="15"/>
      <c r="Z87" s="15"/>
      <c r="AA87" s="15"/>
    </row>
    <row r="88" spans="1:27" x14ac:dyDescent="0.3">
      <c r="N88" s="2">
        <v>22</v>
      </c>
      <c r="O88" s="2">
        <v>9.1491652701964715E-2</v>
      </c>
      <c r="P88" s="2">
        <v>8.6303472869497522E-3</v>
      </c>
      <c r="W88" s="15"/>
      <c r="X88" s="15"/>
      <c r="Y88" s="15"/>
      <c r="Z88" s="15"/>
      <c r="AA88" s="15"/>
    </row>
    <row r="89" spans="1:27" x14ac:dyDescent="0.3">
      <c r="N89" s="2">
        <v>23</v>
      </c>
      <c r="O89" s="2">
        <v>9.3826142834304654E-2</v>
      </c>
      <c r="P89" s="2">
        <v>-4.6621428443266166E-3</v>
      </c>
      <c r="W89" s="15"/>
      <c r="X89" s="15"/>
      <c r="Y89" s="15"/>
      <c r="Z89" s="15"/>
      <c r="AA89" s="15"/>
    </row>
    <row r="90" spans="1:27" x14ac:dyDescent="0.3">
      <c r="N90" s="2">
        <v>24</v>
      </c>
      <c r="O90" s="2">
        <v>4.8240967673629918E-2</v>
      </c>
      <c r="P90" s="2">
        <v>5.788032318085036E-3</v>
      </c>
      <c r="W90" s="15"/>
      <c r="X90" s="15"/>
      <c r="Y90" s="15"/>
      <c r="Z90" s="15"/>
      <c r="AA90" s="15"/>
    </row>
    <row r="91" spans="1:27" x14ac:dyDescent="0.3">
      <c r="N91" s="2">
        <v>25</v>
      </c>
      <c r="O91" s="2">
        <v>5.7038268300656579E-2</v>
      </c>
      <c r="P91" s="2">
        <v>8.2877316883484334E-3</v>
      </c>
      <c r="W91" s="15"/>
      <c r="X91" s="15"/>
      <c r="Y91" s="15"/>
      <c r="Z91" s="15"/>
      <c r="AA91" s="15"/>
    </row>
    <row r="92" spans="1:27" x14ac:dyDescent="0.3">
      <c r="N92" s="2">
        <v>26</v>
      </c>
      <c r="O92" s="2">
        <v>0.10835953263847287</v>
      </c>
      <c r="P92" s="2">
        <v>3.6984673530532364E-3</v>
      </c>
      <c r="W92" s="15"/>
      <c r="X92" s="15"/>
      <c r="Y92" s="15"/>
      <c r="Z92" s="15"/>
      <c r="AA92" s="15"/>
    </row>
    <row r="93" spans="1:27" x14ac:dyDescent="0.3">
      <c r="N93" s="2">
        <v>27</v>
      </c>
      <c r="O93" s="2">
        <v>0.22977261705170762</v>
      </c>
      <c r="P93" s="2">
        <v>9.8133829370738723E-3</v>
      </c>
      <c r="W93" s="15"/>
      <c r="X93" s="15"/>
      <c r="Y93" s="15"/>
      <c r="Z93" s="15"/>
      <c r="AA93" s="15"/>
    </row>
    <row r="94" spans="1:27" x14ac:dyDescent="0.3">
      <c r="N94" s="2">
        <v>28</v>
      </c>
      <c r="O94" s="2">
        <v>0.28252968013015184</v>
      </c>
      <c r="P94" s="2">
        <v>-1.0417680138680219E-2</v>
      </c>
      <c r="W94" s="15"/>
      <c r="X94" s="15"/>
      <c r="Y94" s="15"/>
      <c r="Z94" s="15"/>
      <c r="AA94" s="15"/>
    </row>
    <row r="95" spans="1:27" x14ac:dyDescent="0.3">
      <c r="N95" s="2">
        <v>29</v>
      </c>
      <c r="O95" s="2">
        <v>0.28252968013015184</v>
      </c>
      <c r="P95" s="2">
        <v>1.4203198598534139E-3</v>
      </c>
      <c r="W95" s="15"/>
      <c r="X95" s="15"/>
      <c r="Y95" s="15"/>
      <c r="Z95" s="15"/>
      <c r="AA95" s="15"/>
    </row>
    <row r="96" spans="1:27" x14ac:dyDescent="0.3">
      <c r="N96" s="2">
        <v>30</v>
      </c>
      <c r="O96" s="2">
        <v>0.3424586311263656</v>
      </c>
      <c r="P96" s="2">
        <v>2.4347368864541641E-2</v>
      </c>
      <c r="W96" s="15"/>
      <c r="X96" s="15"/>
      <c r="Y96" s="15"/>
      <c r="Z96" s="15"/>
      <c r="AA96" s="15"/>
    </row>
    <row r="97" spans="14:27" x14ac:dyDescent="0.3">
      <c r="N97" s="2">
        <v>31</v>
      </c>
      <c r="O97" s="2">
        <v>0.12684827688961151</v>
      </c>
      <c r="P97" s="2">
        <v>5.1772310373812691E-4</v>
      </c>
      <c r="W97" s="15"/>
      <c r="X97" s="15"/>
      <c r="Y97" s="15"/>
      <c r="Z97" s="15"/>
      <c r="AA97" s="15"/>
    </row>
    <row r="98" spans="14:27" x14ac:dyDescent="0.3">
      <c r="N98" s="2">
        <v>32</v>
      </c>
      <c r="O98" s="2">
        <v>0.10118764472070337</v>
      </c>
      <c r="P98" s="2">
        <v>1.9383552665437759E-3</v>
      </c>
      <c r="W98" s="15"/>
      <c r="X98" s="15"/>
      <c r="Y98" s="15"/>
      <c r="Z98" s="15"/>
      <c r="AA98" s="15"/>
    </row>
    <row r="99" spans="14:27" x14ac:dyDescent="0.3">
      <c r="N99" s="2">
        <v>33</v>
      </c>
      <c r="O99" s="2">
        <v>0.16797073380748842</v>
      </c>
      <c r="P99" s="2">
        <v>-2.5257338160344089E-3</v>
      </c>
      <c r="W99" s="15"/>
      <c r="X99" s="15"/>
      <c r="Y99" s="15"/>
      <c r="Z99" s="15"/>
      <c r="AA99" s="15"/>
    </row>
    <row r="100" spans="14:27" x14ac:dyDescent="0.3">
      <c r="N100" s="2">
        <v>34</v>
      </c>
      <c r="O100" s="2">
        <v>9.9377166437443654E-2</v>
      </c>
      <c r="P100" s="2">
        <v>3.0303833553811055E-2</v>
      </c>
      <c r="W100" s="15"/>
      <c r="X100" s="15"/>
      <c r="Y100" s="15"/>
      <c r="Z100" s="15"/>
      <c r="AA100" s="15"/>
    </row>
    <row r="101" spans="14:27" x14ac:dyDescent="0.3">
      <c r="N101" s="2">
        <v>35</v>
      </c>
      <c r="O101" s="2">
        <v>8.5557402450984865E-2</v>
      </c>
      <c r="P101" s="2">
        <v>8.7275975336844613E-3</v>
      </c>
      <c r="W101" s="15"/>
      <c r="X101" s="15"/>
      <c r="Y101" s="15"/>
      <c r="Z101" s="15"/>
      <c r="AA101" s="15"/>
    </row>
    <row r="102" spans="14:27" x14ac:dyDescent="0.3">
      <c r="N102" s="2">
        <v>36</v>
      </c>
      <c r="O102" s="2">
        <v>0.1625392989577093</v>
      </c>
      <c r="P102" s="2">
        <v>1.5288701027605434E-2</v>
      </c>
      <c r="W102" s="15"/>
      <c r="X102" s="15"/>
      <c r="Y102" s="15"/>
      <c r="Z102" s="15"/>
      <c r="AA102" s="15"/>
    </row>
    <row r="103" spans="14:27" x14ac:dyDescent="0.3">
      <c r="N103" s="2">
        <v>37</v>
      </c>
      <c r="O103" s="2">
        <v>0.15303292090759987</v>
      </c>
      <c r="P103" s="2">
        <v>1.6304079077211014E-2</v>
      </c>
      <c r="W103" s="15"/>
      <c r="X103" s="15"/>
      <c r="Y103" s="15"/>
      <c r="Z103" s="15"/>
      <c r="AA103" s="15"/>
    </row>
    <row r="104" spans="14:27" x14ac:dyDescent="0.3">
      <c r="N104" s="2">
        <v>38</v>
      </c>
      <c r="O104" s="2">
        <v>0.19415537782547679</v>
      </c>
      <c r="P104" s="2">
        <v>5.2046221586785346E-3</v>
      </c>
      <c r="W104" s="15"/>
      <c r="X104" s="15"/>
      <c r="Y104" s="15"/>
      <c r="Z104" s="15"/>
      <c r="AA104" s="15"/>
    </row>
    <row r="105" spans="14:27" x14ac:dyDescent="0.3">
      <c r="N105" s="2">
        <v>39</v>
      </c>
      <c r="O105" s="2">
        <v>0.14405055470657066</v>
      </c>
      <c r="P105" s="2">
        <v>4.3413445281243829E-2</v>
      </c>
      <c r="W105" s="15"/>
      <c r="X105" s="15"/>
      <c r="Y105" s="15"/>
      <c r="Z105" s="15"/>
      <c r="AA105" s="15"/>
    </row>
    <row r="106" spans="14:27" x14ac:dyDescent="0.3">
      <c r="N106" s="2">
        <v>40</v>
      </c>
      <c r="O106" s="2">
        <v>0.20721268722683631</v>
      </c>
      <c r="P106" s="2">
        <v>2.7765312759023802E-2</v>
      </c>
      <c r="W106" s="15"/>
      <c r="X106" s="15"/>
      <c r="Y106" s="15"/>
      <c r="Z106" s="15"/>
      <c r="AA106" s="15"/>
    </row>
    <row r="107" spans="14:27" x14ac:dyDescent="0.3">
      <c r="N107" s="2">
        <v>41</v>
      </c>
      <c r="O107" s="2">
        <v>0.24471418757819383</v>
      </c>
      <c r="P107" s="2">
        <v>2.8336812403739448E-2</v>
      </c>
      <c r="W107" s="15"/>
      <c r="X107" s="15"/>
      <c r="Y107" s="15"/>
      <c r="Z107" s="15"/>
      <c r="AA107" s="15"/>
    </row>
    <row r="108" spans="14:27" x14ac:dyDescent="0.3">
      <c r="N108" s="2">
        <v>42</v>
      </c>
      <c r="O108" s="2">
        <v>0.30606584181519975</v>
      </c>
      <c r="P108" s="2">
        <v>3.3473158163484229E-2</v>
      </c>
      <c r="W108" s="15"/>
      <c r="X108" s="15"/>
      <c r="Y108" s="15"/>
      <c r="Z108" s="15"/>
      <c r="AA108" s="15"/>
    </row>
    <row r="109" spans="14:27" x14ac:dyDescent="0.3">
      <c r="N109" s="2">
        <v>43</v>
      </c>
      <c r="O109" s="2">
        <v>0.35307372021666666</v>
      </c>
      <c r="P109" s="2">
        <v>2.4727279763880283E-2</v>
      </c>
      <c r="W109" s="15"/>
      <c r="X109" s="15"/>
      <c r="Y109" s="15"/>
      <c r="Z109" s="15"/>
      <c r="AA109" s="15"/>
    </row>
    <row r="110" spans="14:27" x14ac:dyDescent="0.3">
      <c r="N110" s="2">
        <v>44</v>
      </c>
      <c r="O110" s="2">
        <v>0.42393175250378201</v>
      </c>
      <c r="P110" s="2">
        <v>2.6675247473238795E-2</v>
      </c>
      <c r="W110" s="15"/>
      <c r="X110" s="15"/>
      <c r="Y110" s="15"/>
      <c r="Z110" s="15"/>
      <c r="AA110" s="15"/>
    </row>
    <row r="111" spans="14:27" x14ac:dyDescent="0.3">
      <c r="N111" s="2">
        <v>45</v>
      </c>
      <c r="O111" s="2">
        <v>0.48761789687312795</v>
      </c>
      <c r="P111" s="2">
        <v>1.1772103102271281E-2</v>
      </c>
      <c r="W111" s="15"/>
      <c r="X111" s="15"/>
      <c r="Y111" s="15"/>
      <c r="Z111" s="15"/>
      <c r="AA111" s="15"/>
    </row>
    <row r="112" spans="14:27" x14ac:dyDescent="0.3">
      <c r="N112" s="2">
        <v>46</v>
      </c>
      <c r="O112" s="2">
        <v>0.54179766319236433</v>
      </c>
      <c r="P112" s="2">
        <v>1.3397336779344848E-2</v>
      </c>
      <c r="W112" s="15"/>
      <c r="X112" s="15"/>
      <c r="Y112" s="15"/>
      <c r="Z112" s="15"/>
      <c r="AA112" s="15"/>
    </row>
    <row r="113" spans="14:27" x14ac:dyDescent="0.3">
      <c r="N113" s="2">
        <v>47</v>
      </c>
      <c r="O113" s="2">
        <v>0.62397255181284883</v>
      </c>
      <c r="P113" s="2">
        <v>-8.9665518419551615E-3</v>
      </c>
      <c r="W113" s="15"/>
      <c r="X113" s="15"/>
      <c r="Y113" s="15"/>
      <c r="Z113" s="15"/>
      <c r="AA113" s="15"/>
    </row>
    <row r="114" spans="14:27" x14ac:dyDescent="0.3">
      <c r="N114" s="2">
        <v>48</v>
      </c>
      <c r="O114" s="2">
        <v>0.69483058409996423</v>
      </c>
      <c r="P114" s="2">
        <v>6.9534158680524261E-3</v>
      </c>
      <c r="W114" s="15"/>
      <c r="X114" s="15"/>
      <c r="Y114" s="15"/>
      <c r="Z114" s="15"/>
      <c r="AA114" s="15"/>
    </row>
    <row r="115" spans="14:27" x14ac:dyDescent="0.3">
      <c r="N115" s="2">
        <v>49</v>
      </c>
      <c r="O115" s="2">
        <v>0.78651185077055819</v>
      </c>
      <c r="P115" s="2">
        <v>-2.755385080113304E-2</v>
      </c>
      <c r="W115" s="15"/>
      <c r="X115" s="15"/>
      <c r="Y115" s="15"/>
      <c r="Z115" s="15"/>
      <c r="AA115" s="15"/>
    </row>
    <row r="116" spans="14:27" x14ac:dyDescent="0.3">
      <c r="N116" s="2">
        <v>50</v>
      </c>
      <c r="O116" s="2">
        <v>0.86687626110778293</v>
      </c>
      <c r="P116" s="2">
        <v>-1.871426114210184E-2</v>
      </c>
      <c r="W116" s="15"/>
      <c r="X116" s="15"/>
      <c r="Y116" s="15"/>
      <c r="Z116" s="15"/>
      <c r="AA116" s="15"/>
    </row>
    <row r="117" spans="14:27" ht="15" thickBot="1" x14ac:dyDescent="0.35">
      <c r="N117" s="3">
        <v>51</v>
      </c>
      <c r="O117" s="3">
        <v>0.97523579374625591</v>
      </c>
      <c r="P117" s="3">
        <v>-3.7026793782723999E-2</v>
      </c>
      <c r="W117" s="15"/>
      <c r="X117" s="15"/>
      <c r="Y117" s="15"/>
      <c r="Z117" s="15"/>
      <c r="AA117" s="15"/>
    </row>
    <row r="118" spans="14:27" x14ac:dyDescent="0.3">
      <c r="N118" s="2"/>
      <c r="O118" s="2"/>
      <c r="P118" s="2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4:27" x14ac:dyDescent="0.3">
      <c r="N119" s="2"/>
      <c r="O119" s="2"/>
      <c r="P119" s="2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4:27" x14ac:dyDescent="0.3"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4:27" x14ac:dyDescent="0.3"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4:27" x14ac:dyDescent="0.3"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4:27" x14ac:dyDescent="0.3"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4:27" x14ac:dyDescent="0.3"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4:27" x14ac:dyDescent="0.3"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4:27" x14ac:dyDescent="0.3"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4:27" x14ac:dyDescent="0.3"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4:27" x14ac:dyDescent="0.3"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4:27" x14ac:dyDescent="0.3"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4:27" x14ac:dyDescent="0.3"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4:27" x14ac:dyDescent="0.3"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4:27" x14ac:dyDescent="0.3"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4:27" x14ac:dyDescent="0.3"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4:27" x14ac:dyDescent="0.3"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4:27" x14ac:dyDescent="0.3"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4:27" x14ac:dyDescent="0.3"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4:27" x14ac:dyDescent="0.3"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4:27" x14ac:dyDescent="0.3"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4:27" x14ac:dyDescent="0.3"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4:27" x14ac:dyDescent="0.3"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4:27" x14ac:dyDescent="0.3"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4:27" x14ac:dyDescent="0.3"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4:27" x14ac:dyDescent="0.3"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4:27" x14ac:dyDescent="0.3"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4:27" x14ac:dyDescent="0.3"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4:27" x14ac:dyDescent="0.3"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4:27" x14ac:dyDescent="0.3"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4:27" x14ac:dyDescent="0.3"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4:27" x14ac:dyDescent="0.3"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</sheetData>
  <conditionalFormatting sqref="A5:K55 E59:K59 A56 F56:K56 A65 E63:K68 E74:K74 C56:C83 E70:K70 E76:K76 E79:K79 E82:K83">
    <cfRule type="expression" dxfId="5" priority="3">
      <formula>MOD(ROW(),2)&gt;0</formula>
    </cfRule>
  </conditionalFormatting>
  <conditionalFormatting sqref="A57:A58 F57:K58 E58">
    <cfRule type="expression" dxfId="4" priority="2">
      <formula>MOD(ROW(),2)&gt;0</formula>
    </cfRule>
  </conditionalFormatting>
  <conditionalFormatting sqref="E60:K62 A60:A62 A64">
    <cfRule type="expression" dxfId="3" priority="1">
      <formula>MOD(ROW(),2)&gt;0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8"/>
  <sheetViews>
    <sheetView workbookViewId="0">
      <selection activeCell="F9" sqref="F9"/>
    </sheetView>
  </sheetViews>
  <sheetFormatPr defaultRowHeight="14.4" x14ac:dyDescent="0.3"/>
  <cols>
    <col min="14" max="14" width="17.44140625" bestFit="1" customWidth="1"/>
  </cols>
  <sheetData>
    <row r="1" spans="1:19" x14ac:dyDescent="0.3">
      <c r="B1" s="14" t="s">
        <v>38</v>
      </c>
      <c r="C1" s="14" t="s">
        <v>90</v>
      </c>
    </row>
    <row r="2" spans="1:19" x14ac:dyDescent="0.3">
      <c r="C2" s="6"/>
      <c r="D2" s="6"/>
    </row>
    <row r="3" spans="1:19" x14ac:dyDescent="0.3">
      <c r="A3" s="9" t="s">
        <v>39</v>
      </c>
      <c r="B3" s="9">
        <v>-64040.612581000001</v>
      </c>
      <c r="C3" s="9"/>
    </row>
    <row r="4" spans="1:19" ht="15.6" x14ac:dyDescent="0.3">
      <c r="A4" s="12" t="s">
        <v>40</v>
      </c>
      <c r="B4" s="12">
        <v>-64057.222185999999</v>
      </c>
      <c r="C4" s="12">
        <v>-0.79894449999782857</v>
      </c>
      <c r="D4" s="11"/>
      <c r="E4" s="13" t="s">
        <v>31</v>
      </c>
      <c r="F4" s="13" t="s">
        <v>32</v>
      </c>
      <c r="G4" s="13" t="s">
        <v>33</v>
      </c>
      <c r="H4" s="13" t="s">
        <v>34</v>
      </c>
      <c r="I4" s="13" t="s">
        <v>35</v>
      </c>
      <c r="J4" s="17" t="s">
        <v>36</v>
      </c>
      <c r="K4" s="17" t="s">
        <v>37</v>
      </c>
      <c r="N4" t="s">
        <v>0</v>
      </c>
    </row>
    <row r="5" spans="1:19" ht="16.2" thickBot="1" x14ac:dyDescent="0.35">
      <c r="A5" s="10" t="s">
        <v>33</v>
      </c>
      <c r="B5" s="10">
        <v>-64073.824418999997</v>
      </c>
      <c r="C5" s="11">
        <v>-1.590516999995625</v>
      </c>
      <c r="D5" s="11">
        <v>7.3720000000321306E-3</v>
      </c>
      <c r="E5" s="10">
        <v>0</v>
      </c>
      <c r="F5" s="10">
        <v>0</v>
      </c>
      <c r="G5" s="10">
        <v>1</v>
      </c>
      <c r="H5" s="10">
        <v>0</v>
      </c>
      <c r="I5" s="10">
        <v>0</v>
      </c>
      <c r="J5" s="18">
        <v>0</v>
      </c>
      <c r="K5" s="18">
        <v>0</v>
      </c>
    </row>
    <row r="6" spans="1:19" ht="15.6" x14ac:dyDescent="0.3">
      <c r="A6" s="11" t="s">
        <v>32</v>
      </c>
      <c r="B6" s="11">
        <v>-64073.795804000001</v>
      </c>
      <c r="C6" s="11">
        <v>-1.5619019999999999</v>
      </c>
      <c r="D6" s="11">
        <v>3.5986999995657243E-2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8">
        <v>0</v>
      </c>
      <c r="K6" s="18">
        <v>0</v>
      </c>
      <c r="N6" s="5" t="s">
        <v>1</v>
      </c>
      <c r="O6" s="5"/>
    </row>
    <row r="7" spans="1:19" ht="15.6" x14ac:dyDescent="0.3">
      <c r="A7" s="11" t="s">
        <v>31</v>
      </c>
      <c r="B7" s="11">
        <v>-64073.78368</v>
      </c>
      <c r="C7" s="11">
        <v>-1.5497779999992325</v>
      </c>
      <c r="D7" s="11">
        <v>4.8110999996424653E-2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8">
        <v>0</v>
      </c>
      <c r="K7" s="18">
        <v>0</v>
      </c>
      <c r="N7" s="2" t="s">
        <v>2</v>
      </c>
      <c r="O7" s="2">
        <v>0.99594033690189199</v>
      </c>
    </row>
    <row r="8" spans="1:19" ht="15.6" x14ac:dyDescent="0.3">
      <c r="A8" s="11" t="s">
        <v>34</v>
      </c>
      <c r="B8" s="11">
        <v>-64073.826342</v>
      </c>
      <c r="C8" s="11">
        <v>-1.592439999999069</v>
      </c>
      <c r="D8" s="11">
        <v>5.4489999965880997E-3</v>
      </c>
      <c r="E8" s="10">
        <v>0</v>
      </c>
      <c r="F8" s="10">
        <v>0</v>
      </c>
      <c r="G8" s="10">
        <v>0</v>
      </c>
      <c r="H8" s="10">
        <v>1</v>
      </c>
      <c r="I8" s="10">
        <v>0</v>
      </c>
      <c r="J8" s="18">
        <v>0</v>
      </c>
      <c r="K8" s="18">
        <v>0</v>
      </c>
      <c r="N8" s="2" t="s">
        <v>3</v>
      </c>
      <c r="O8" s="2">
        <v>0.99189715466825412</v>
      </c>
    </row>
    <row r="9" spans="1:19" ht="15.6" x14ac:dyDescent="0.3">
      <c r="A9" s="19" t="s">
        <v>45</v>
      </c>
      <c r="B9" s="19">
        <v>-64073.826313999998</v>
      </c>
      <c r="C9" s="19">
        <v>-1.592411999996866</v>
      </c>
      <c r="D9" s="19">
        <v>5.4769999987911433E-3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N9" s="2" t="s">
        <v>4</v>
      </c>
      <c r="O9" s="2">
        <v>0.97247832000176382</v>
      </c>
    </row>
    <row r="10" spans="1:19" ht="15.6" x14ac:dyDescent="0.3">
      <c r="A10" s="11" t="s">
        <v>35</v>
      </c>
      <c r="B10" s="11">
        <v>-64073.820822000001</v>
      </c>
      <c r="C10" s="11">
        <v>-1.5869200000002728</v>
      </c>
      <c r="D10" s="11">
        <v>1.0968999995384365E-2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  <c r="J10" s="18">
        <v>0</v>
      </c>
      <c r="K10" s="18">
        <v>0</v>
      </c>
      <c r="N10" s="2" t="s">
        <v>5</v>
      </c>
      <c r="O10" s="2">
        <v>0.3312632331526652</v>
      </c>
    </row>
    <row r="11" spans="1:19" ht="16.2" thickBot="1" x14ac:dyDescent="0.35">
      <c r="A11" s="19" t="s">
        <v>36</v>
      </c>
      <c r="B11" s="19">
        <v>-64073.820087</v>
      </c>
      <c r="C11" s="19">
        <v>-1.5861849999988316</v>
      </c>
      <c r="D11" s="19">
        <v>1.1703999996825587E-2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1</v>
      </c>
      <c r="K11" s="18">
        <v>0</v>
      </c>
      <c r="N11" s="3" t="s">
        <v>6</v>
      </c>
      <c r="O11" s="3">
        <v>61</v>
      </c>
    </row>
    <row r="12" spans="1:19" x14ac:dyDescent="0.3">
      <c r="A12" s="11" t="s">
        <v>46</v>
      </c>
      <c r="B12" s="11">
        <v>-64090.389736999998</v>
      </c>
      <c r="C12" s="11">
        <v>-2.3451744999964674</v>
      </c>
      <c r="D12" s="11">
        <v>5.1658999997018284E-2</v>
      </c>
      <c r="E12" s="11">
        <v>0</v>
      </c>
      <c r="F12" s="11">
        <v>1</v>
      </c>
      <c r="G12" s="11">
        <v>1</v>
      </c>
      <c r="H12" s="11">
        <v>1</v>
      </c>
      <c r="I12" s="11">
        <v>0</v>
      </c>
      <c r="J12" s="19">
        <v>0</v>
      </c>
      <c r="K12" s="19">
        <v>0</v>
      </c>
    </row>
    <row r="13" spans="1:19" ht="15" thickBot="1" x14ac:dyDescent="0.35">
      <c r="A13" s="11" t="s">
        <v>47</v>
      </c>
      <c r="B13" s="11">
        <v>-64090.298674999998</v>
      </c>
      <c r="C13" s="11">
        <v>-2.2541124999969568</v>
      </c>
      <c r="D13" s="11">
        <v>0.14272099999652887</v>
      </c>
      <c r="E13" s="11">
        <v>2</v>
      </c>
      <c r="F13" s="11">
        <v>0</v>
      </c>
      <c r="G13" s="11">
        <v>0</v>
      </c>
      <c r="H13" s="11">
        <v>1</v>
      </c>
      <c r="I13" s="11">
        <v>0</v>
      </c>
      <c r="J13" s="19">
        <v>0</v>
      </c>
      <c r="K13" s="19">
        <v>0</v>
      </c>
      <c r="N13" t="s">
        <v>7</v>
      </c>
    </row>
    <row r="14" spans="1:19" x14ac:dyDescent="0.3">
      <c r="A14" s="11" t="s">
        <v>48</v>
      </c>
      <c r="B14" s="11">
        <v>-64090.375950000001</v>
      </c>
      <c r="C14" s="11">
        <v>-2.3313875000002398</v>
      </c>
      <c r="D14" s="11">
        <v>6.5445999993245962E-2</v>
      </c>
      <c r="E14" s="11">
        <v>1</v>
      </c>
      <c r="F14" s="11">
        <v>0</v>
      </c>
      <c r="G14" s="11">
        <v>0</v>
      </c>
      <c r="H14" s="11">
        <v>0</v>
      </c>
      <c r="I14" s="11">
        <v>1</v>
      </c>
      <c r="J14" s="19">
        <v>0</v>
      </c>
      <c r="K14" s="19">
        <v>0</v>
      </c>
      <c r="N14" s="4"/>
      <c r="O14" s="4" t="s">
        <v>12</v>
      </c>
      <c r="P14" s="4" t="s">
        <v>13</v>
      </c>
      <c r="Q14" s="4" t="s">
        <v>14</v>
      </c>
      <c r="R14" s="4" t="s">
        <v>15</v>
      </c>
      <c r="S14" s="4" t="s">
        <v>16</v>
      </c>
    </row>
    <row r="15" spans="1:19" x14ac:dyDescent="0.3">
      <c r="A15" s="11" t="s">
        <v>49</v>
      </c>
      <c r="B15" s="11">
        <v>-64090.397914000001</v>
      </c>
      <c r="C15" s="11">
        <v>-2.3533514999998104</v>
      </c>
      <c r="D15" s="11">
        <v>4.3481999993675302E-2</v>
      </c>
      <c r="E15" s="11">
        <v>0</v>
      </c>
      <c r="F15" s="11">
        <v>1</v>
      </c>
      <c r="G15" s="11">
        <v>0</v>
      </c>
      <c r="H15" s="11">
        <v>1</v>
      </c>
      <c r="I15" s="11">
        <v>0</v>
      </c>
      <c r="J15" s="19">
        <v>0</v>
      </c>
      <c r="K15" s="19">
        <v>0</v>
      </c>
      <c r="N15" s="2" t="s">
        <v>8</v>
      </c>
      <c r="O15" s="2">
        <v>7</v>
      </c>
      <c r="P15" s="2">
        <v>725.3862644614959</v>
      </c>
      <c r="Q15" s="2">
        <v>103.62660920878513</v>
      </c>
      <c r="R15" s="2">
        <v>944.33223602570388</v>
      </c>
      <c r="S15" s="2">
        <v>2.9027948149884149E-53</v>
      </c>
    </row>
    <row r="16" spans="1:19" x14ac:dyDescent="0.3">
      <c r="A16" s="11" t="s">
        <v>50</v>
      </c>
      <c r="B16" s="11">
        <v>-64090.412712999998</v>
      </c>
      <c r="C16" s="11">
        <v>-2.3681504999966663</v>
      </c>
      <c r="D16" s="11">
        <v>2.8682999996819447E-2</v>
      </c>
      <c r="E16" s="11">
        <v>0</v>
      </c>
      <c r="F16" s="11">
        <v>0</v>
      </c>
      <c r="G16" s="11">
        <v>0</v>
      </c>
      <c r="H16" s="11">
        <v>0</v>
      </c>
      <c r="I16" s="11">
        <v>2</v>
      </c>
      <c r="J16" s="19">
        <v>0</v>
      </c>
      <c r="K16" s="19">
        <v>0</v>
      </c>
      <c r="N16" s="2" t="s">
        <v>9</v>
      </c>
      <c r="O16" s="2">
        <v>54</v>
      </c>
      <c r="P16" s="2">
        <v>5.92570780049288</v>
      </c>
      <c r="Q16" s="2">
        <v>0.10973532963875704</v>
      </c>
      <c r="R16" s="2"/>
      <c r="S16" s="2"/>
    </row>
    <row r="17" spans="1:22" ht="15" thickBot="1" x14ac:dyDescent="0.35">
      <c r="A17" s="11" t="s">
        <v>51</v>
      </c>
      <c r="B17" s="11">
        <v>-64090.372091999998</v>
      </c>
      <c r="C17" s="11">
        <v>-2.3275294999965652</v>
      </c>
      <c r="D17" s="11">
        <v>6.9303999996920496E-2</v>
      </c>
      <c r="E17" s="11">
        <v>0</v>
      </c>
      <c r="F17" s="11">
        <v>2</v>
      </c>
      <c r="G17" s="11">
        <v>0</v>
      </c>
      <c r="H17" s="11">
        <v>0</v>
      </c>
      <c r="I17" s="11">
        <v>0</v>
      </c>
      <c r="J17" s="19">
        <v>1</v>
      </c>
      <c r="K17" s="19">
        <v>0</v>
      </c>
      <c r="N17" s="3" t="s">
        <v>10</v>
      </c>
      <c r="O17" s="3">
        <v>61</v>
      </c>
      <c r="P17" s="3">
        <v>731.31197226198879</v>
      </c>
      <c r="Q17" s="3"/>
      <c r="R17" s="3"/>
      <c r="S17" s="3"/>
    </row>
    <row r="18" spans="1:22" ht="15" thickBot="1" x14ac:dyDescent="0.35">
      <c r="A18" s="11" t="s">
        <v>52</v>
      </c>
      <c r="B18" s="11">
        <v>-64090.429834000002</v>
      </c>
      <c r="C18" s="11">
        <v>-2.3852715000010747</v>
      </c>
      <c r="D18" s="11">
        <v>1.1561999992411032E-2</v>
      </c>
      <c r="E18" s="11">
        <v>0</v>
      </c>
      <c r="F18" s="11">
        <v>0</v>
      </c>
      <c r="G18" s="11">
        <v>0</v>
      </c>
      <c r="H18" s="11">
        <v>3</v>
      </c>
      <c r="I18" s="11">
        <v>0</v>
      </c>
      <c r="J18" s="19">
        <v>0</v>
      </c>
      <c r="K18" s="19">
        <v>0</v>
      </c>
    </row>
    <row r="19" spans="1:22" x14ac:dyDescent="0.3">
      <c r="A19" s="11" t="s">
        <v>53</v>
      </c>
      <c r="B19" s="11">
        <v>-64106.964669000001</v>
      </c>
      <c r="C19" s="11">
        <v>-3.1094459999996431</v>
      </c>
      <c r="D19" s="11">
        <v>8.6331999991671182E-2</v>
      </c>
      <c r="E19" s="11">
        <v>0</v>
      </c>
      <c r="F19" s="11">
        <v>2</v>
      </c>
      <c r="G19" s="11">
        <v>1</v>
      </c>
      <c r="H19" s="11">
        <v>2</v>
      </c>
      <c r="I19" s="11">
        <v>0</v>
      </c>
      <c r="J19" s="19">
        <v>0</v>
      </c>
      <c r="K19" s="19">
        <v>0</v>
      </c>
      <c r="N19" s="4"/>
      <c r="O19" s="4" t="s">
        <v>17</v>
      </c>
      <c r="P19" s="4" t="s">
        <v>5</v>
      </c>
      <c r="Q19" s="4" t="s">
        <v>18</v>
      </c>
      <c r="R19" s="4" t="s">
        <v>19</v>
      </c>
      <c r="S19" s="4" t="s">
        <v>20</v>
      </c>
      <c r="T19" s="4" t="s">
        <v>21</v>
      </c>
      <c r="U19" s="4" t="s">
        <v>22</v>
      </c>
      <c r="V19" s="4" t="s">
        <v>23</v>
      </c>
    </row>
    <row r="20" spans="1:22" x14ac:dyDescent="0.3">
      <c r="A20" s="11" t="s">
        <v>54</v>
      </c>
      <c r="B20" s="11">
        <v>-64106.916719000001</v>
      </c>
      <c r="C20" s="11">
        <v>-3.061495999999515</v>
      </c>
      <c r="D20" s="11">
        <v>0.13428199999179924</v>
      </c>
      <c r="E20" s="11">
        <v>2</v>
      </c>
      <c r="F20" s="11">
        <v>1</v>
      </c>
      <c r="G20" s="11">
        <v>1</v>
      </c>
      <c r="H20" s="11">
        <v>1</v>
      </c>
      <c r="I20" s="11">
        <v>1</v>
      </c>
      <c r="J20" s="19">
        <v>0</v>
      </c>
      <c r="K20" s="19">
        <v>0</v>
      </c>
      <c r="N20" s="2" t="s">
        <v>11</v>
      </c>
      <c r="O20" s="2">
        <v>0</v>
      </c>
      <c r="P20" s="2" t="e">
        <v>#N/A</v>
      </c>
      <c r="Q20" s="2" t="e">
        <v>#N/A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</row>
    <row r="21" spans="1:22" x14ac:dyDescent="0.3">
      <c r="A21" s="11" t="s">
        <v>55</v>
      </c>
      <c r="B21" s="11">
        <v>-64106.969994999999</v>
      </c>
      <c r="C21" s="11">
        <v>-3.1147719999982471</v>
      </c>
      <c r="D21" s="11">
        <v>8.1005999993067235E-2</v>
      </c>
      <c r="E21" s="11">
        <v>0</v>
      </c>
      <c r="F21" s="11">
        <v>2</v>
      </c>
      <c r="G21" s="11">
        <v>1</v>
      </c>
      <c r="H21" s="11">
        <v>2</v>
      </c>
      <c r="I21" s="11">
        <v>0</v>
      </c>
      <c r="J21" s="19">
        <v>1</v>
      </c>
      <c r="K21" s="19">
        <v>0</v>
      </c>
      <c r="N21" s="2" t="s">
        <v>24</v>
      </c>
      <c r="O21" s="2">
        <v>0.13661125840010624</v>
      </c>
      <c r="P21" s="2">
        <v>3.7886608587525024E-2</v>
      </c>
      <c r="Q21" s="2">
        <v>3.6057927455952976</v>
      </c>
      <c r="R21" s="2">
        <v>6.795944716178735E-4</v>
      </c>
      <c r="S21" s="2">
        <v>6.0653181543289511E-2</v>
      </c>
      <c r="T21" s="2">
        <v>0.21256933525692295</v>
      </c>
      <c r="U21" s="2">
        <v>6.0653181543289511E-2</v>
      </c>
      <c r="V21" s="2">
        <v>0.21256933525692295</v>
      </c>
    </row>
    <row r="22" spans="1:22" x14ac:dyDescent="0.3">
      <c r="A22" s="11" t="s">
        <v>56</v>
      </c>
      <c r="B22" s="11">
        <v>-64106.815552</v>
      </c>
      <c r="C22" s="11">
        <v>-2.9603289999988007</v>
      </c>
      <c r="D22" s="11">
        <v>0.23544899999251356</v>
      </c>
      <c r="E22" s="11">
        <v>3</v>
      </c>
      <c r="F22" s="11">
        <v>1</v>
      </c>
      <c r="G22" s="11">
        <v>1</v>
      </c>
      <c r="H22" s="11">
        <v>1</v>
      </c>
      <c r="I22" s="11">
        <v>0</v>
      </c>
      <c r="J22" s="19">
        <v>0</v>
      </c>
      <c r="K22" s="19">
        <v>0</v>
      </c>
      <c r="N22" s="2" t="s">
        <v>25</v>
      </c>
      <c r="O22" s="2">
        <v>4.7416199943894594E-2</v>
      </c>
      <c r="P22" s="2">
        <v>4.0476707005370184E-2</v>
      </c>
      <c r="Q22" s="2">
        <v>1.1714441082769831</v>
      </c>
      <c r="R22" s="2">
        <v>0.24656332710203319</v>
      </c>
      <c r="S22" s="2">
        <v>-3.3734711585228547E-2</v>
      </c>
      <c r="T22" s="2">
        <v>0.12856711147301775</v>
      </c>
      <c r="U22" s="2">
        <v>-3.3734711585228547E-2</v>
      </c>
      <c r="V22" s="2">
        <v>0.12856711147301775</v>
      </c>
    </row>
    <row r="23" spans="1:22" x14ac:dyDescent="0.3">
      <c r="A23" s="11" t="s">
        <v>57</v>
      </c>
      <c r="B23" s="11">
        <v>-64106.968430000001</v>
      </c>
      <c r="C23" s="11">
        <v>-3.1132069999995835</v>
      </c>
      <c r="D23" s="11">
        <v>8.2570999991730787E-2</v>
      </c>
      <c r="E23" s="11">
        <v>0</v>
      </c>
      <c r="F23" s="11">
        <v>2</v>
      </c>
      <c r="G23" s="11">
        <v>1</v>
      </c>
      <c r="H23" s="11">
        <v>1</v>
      </c>
      <c r="I23" s="11">
        <v>0</v>
      </c>
      <c r="J23" s="19">
        <v>1</v>
      </c>
      <c r="K23" s="19">
        <v>0</v>
      </c>
      <c r="N23" s="2" t="s">
        <v>26</v>
      </c>
      <c r="O23" s="2">
        <v>-7.104958919887211E-2</v>
      </c>
      <c r="P23" s="2">
        <v>4.7513342457064449E-2</v>
      </c>
      <c r="Q23" s="2">
        <v>-1.4953607876161574</v>
      </c>
      <c r="R23" s="2">
        <v>0.14064191813092988</v>
      </c>
      <c r="S23" s="2">
        <v>-0.16630810540362689</v>
      </c>
      <c r="T23" s="2">
        <v>2.4208927005882688E-2</v>
      </c>
      <c r="U23" s="2">
        <v>-0.16630810540362689</v>
      </c>
      <c r="V23" s="2">
        <v>2.4208927005882688E-2</v>
      </c>
    </row>
    <row r="24" spans="1:22" x14ac:dyDescent="0.3">
      <c r="A24" s="11" t="s">
        <v>58</v>
      </c>
      <c r="B24" s="11">
        <v>-64106.872261999997</v>
      </c>
      <c r="C24" s="11">
        <v>-3.0170389999959113</v>
      </c>
      <c r="D24" s="11">
        <v>0.17873899999540299</v>
      </c>
      <c r="E24" s="11">
        <v>2</v>
      </c>
      <c r="F24" s="11">
        <v>1</v>
      </c>
      <c r="G24" s="11">
        <v>0</v>
      </c>
      <c r="H24" s="11">
        <v>1</v>
      </c>
      <c r="I24" s="11">
        <v>1</v>
      </c>
      <c r="J24" s="19">
        <v>0</v>
      </c>
      <c r="K24" s="19">
        <v>0</v>
      </c>
      <c r="N24" s="2" t="s">
        <v>27</v>
      </c>
      <c r="O24" s="2">
        <v>5.1109658518178717E-2</v>
      </c>
      <c r="P24" s="2">
        <v>2.6727347570966824E-2</v>
      </c>
      <c r="Q24" s="2">
        <v>1.9122607801792393</v>
      </c>
      <c r="R24" s="2">
        <v>6.115359251672596E-2</v>
      </c>
      <c r="S24" s="2">
        <v>-2.4754470550560626E-3</v>
      </c>
      <c r="T24" s="2">
        <v>0.1046947640914135</v>
      </c>
      <c r="U24" s="2">
        <v>-2.4754470550560626E-3</v>
      </c>
      <c r="V24" s="2">
        <v>0.1046947640914135</v>
      </c>
    </row>
    <row r="25" spans="1:22" x14ac:dyDescent="0.3">
      <c r="A25" s="11" t="s">
        <v>59</v>
      </c>
      <c r="B25" s="11">
        <v>-64106.993028999997</v>
      </c>
      <c r="C25" s="11">
        <v>-3.1378059999962531</v>
      </c>
      <c r="D25" s="11">
        <v>5.7971999995061196E-2</v>
      </c>
      <c r="E25" s="11">
        <v>0</v>
      </c>
      <c r="F25" s="11">
        <v>1</v>
      </c>
      <c r="G25" s="11">
        <v>1</v>
      </c>
      <c r="H25" s="11">
        <v>3</v>
      </c>
      <c r="I25" s="11">
        <v>0</v>
      </c>
      <c r="J25" s="19">
        <v>0</v>
      </c>
      <c r="K25" s="19">
        <v>0</v>
      </c>
      <c r="N25" s="2" t="s">
        <v>28</v>
      </c>
      <c r="O25" s="2">
        <v>6.5191108557270073E-3</v>
      </c>
      <c r="P25" s="2">
        <v>1.8961041364173221E-2</v>
      </c>
      <c r="Q25" s="2">
        <v>0.34381607689780319</v>
      </c>
      <c r="R25" s="2">
        <v>0.73231979041316264</v>
      </c>
      <c r="S25" s="2">
        <v>-3.1495488257780924E-2</v>
      </c>
      <c r="T25" s="2">
        <v>4.4533709969234933E-2</v>
      </c>
      <c r="U25" s="2">
        <v>-3.1495488257780924E-2</v>
      </c>
      <c r="V25" s="2">
        <v>4.4533709969234933E-2</v>
      </c>
    </row>
    <row r="26" spans="1:22" x14ac:dyDescent="0.3">
      <c r="A26" s="11" t="s">
        <v>60</v>
      </c>
      <c r="B26" s="11">
        <v>-64106.950879000004</v>
      </c>
      <c r="C26" s="11">
        <v>-3.0956560000023998</v>
      </c>
      <c r="D26" s="11">
        <v>0.10012199998891447</v>
      </c>
      <c r="E26" s="11">
        <v>1</v>
      </c>
      <c r="F26" s="11">
        <v>0</v>
      </c>
      <c r="G26" s="11">
        <v>1</v>
      </c>
      <c r="H26" s="11">
        <v>0</v>
      </c>
      <c r="I26" s="11">
        <v>2</v>
      </c>
      <c r="J26" s="19">
        <v>1</v>
      </c>
      <c r="K26" s="19">
        <v>0</v>
      </c>
      <c r="N26" s="2" t="s">
        <v>29</v>
      </c>
      <c r="O26" s="2">
        <v>-4.1633802898535507E-2</v>
      </c>
      <c r="P26" s="2">
        <v>3.8481773440348775E-2</v>
      </c>
      <c r="Q26" s="2">
        <v>-1.0819096724602038</v>
      </c>
      <c r="R26" s="2">
        <v>0.28410052302929939</v>
      </c>
      <c r="S26" s="2">
        <v>-0.11878511344183607</v>
      </c>
      <c r="T26" s="2">
        <v>3.5517507644765051E-2</v>
      </c>
      <c r="U26" s="2">
        <v>-0.11878511344183607</v>
      </c>
      <c r="V26" s="2">
        <v>3.5517507644765051E-2</v>
      </c>
    </row>
    <row r="27" spans="1:22" ht="15" thickBot="1" x14ac:dyDescent="0.35">
      <c r="A27" s="11" t="s">
        <v>61</v>
      </c>
      <c r="B27" s="11">
        <v>-64106.961837000003</v>
      </c>
      <c r="C27" s="11">
        <v>-3.1066140000013363</v>
      </c>
      <c r="D27" s="11">
        <v>8.9163999989978038E-2</v>
      </c>
      <c r="E27" s="11">
        <v>1</v>
      </c>
      <c r="F27" s="11">
        <v>0</v>
      </c>
      <c r="G27" s="11">
        <v>0</v>
      </c>
      <c r="H27" s="11">
        <v>1</v>
      </c>
      <c r="I27" s="11">
        <v>2</v>
      </c>
      <c r="J27" s="19">
        <v>0</v>
      </c>
      <c r="K27" s="19">
        <v>0</v>
      </c>
      <c r="N27" s="3" t="s">
        <v>30</v>
      </c>
      <c r="O27" s="3">
        <v>1.4263546924779292E-2</v>
      </c>
      <c r="P27" s="3">
        <v>4.8687441851117931E-2</v>
      </c>
      <c r="Q27" s="3">
        <v>0.29296151907910889</v>
      </c>
      <c r="R27" s="3">
        <v>0.77067442028502664</v>
      </c>
      <c r="S27" s="3">
        <v>-8.3348896837387471E-2</v>
      </c>
      <c r="T27" s="3">
        <v>0.11187599068694606</v>
      </c>
      <c r="U27" s="3">
        <v>-8.3348896837387471E-2</v>
      </c>
      <c r="V27" s="3">
        <v>0.11187599068694606</v>
      </c>
    </row>
    <row r="28" spans="1:22" x14ac:dyDescent="0.3">
      <c r="A28" s="11" t="s">
        <v>62</v>
      </c>
      <c r="B28" s="11">
        <v>-64106.996972000001</v>
      </c>
      <c r="C28" s="11">
        <v>-3.1417489999995993</v>
      </c>
      <c r="D28" s="11">
        <v>5.4028999991714954E-2</v>
      </c>
      <c r="E28" s="11">
        <v>0</v>
      </c>
      <c r="F28" s="11">
        <v>0</v>
      </c>
      <c r="G28" s="11">
        <v>1</v>
      </c>
      <c r="H28" s="11">
        <v>1</v>
      </c>
      <c r="I28" s="11">
        <v>3</v>
      </c>
      <c r="J28" s="19">
        <v>0</v>
      </c>
      <c r="K28" s="19">
        <v>0</v>
      </c>
    </row>
    <row r="29" spans="1:22" x14ac:dyDescent="0.3">
      <c r="A29" s="11" t="s">
        <v>63</v>
      </c>
      <c r="B29" s="11">
        <v>-64123.595280000001</v>
      </c>
      <c r="C29" s="11">
        <v>-3.9293965000001378</v>
      </c>
      <c r="D29" s="11">
        <v>6.5325999989005012E-2</v>
      </c>
      <c r="E29" s="11">
        <v>0</v>
      </c>
      <c r="F29" s="11">
        <v>0</v>
      </c>
      <c r="G29" s="11">
        <v>0</v>
      </c>
      <c r="H29" s="11">
        <v>6</v>
      </c>
      <c r="I29" s="11">
        <v>0</v>
      </c>
      <c r="J29" s="19">
        <v>2</v>
      </c>
      <c r="K29" s="19">
        <v>2</v>
      </c>
    </row>
    <row r="30" spans="1:22" x14ac:dyDescent="0.3">
      <c r="A30" s="11" t="s">
        <v>64</v>
      </c>
      <c r="B30" s="11">
        <v>-64123.548547999999</v>
      </c>
      <c r="C30" s="11">
        <v>-3.8826644999976168</v>
      </c>
      <c r="D30" s="11">
        <v>0.1120579999915261</v>
      </c>
      <c r="E30" s="11">
        <v>0</v>
      </c>
      <c r="F30" s="11">
        <v>2</v>
      </c>
      <c r="G30" s="11">
        <v>2</v>
      </c>
      <c r="H30" s="11">
        <v>4</v>
      </c>
      <c r="I30" s="11">
        <v>0</v>
      </c>
      <c r="J30" s="19">
        <v>0</v>
      </c>
      <c r="K30" s="19">
        <v>0</v>
      </c>
    </row>
    <row r="31" spans="1:22" x14ac:dyDescent="0.3">
      <c r="A31" s="11" t="s">
        <v>65</v>
      </c>
      <c r="B31" s="11">
        <v>-64123.421020000002</v>
      </c>
      <c r="C31" s="11">
        <v>-3.7551365000003614</v>
      </c>
      <c r="D31" s="11">
        <v>0.2395859999887815</v>
      </c>
      <c r="E31" s="11">
        <v>2</v>
      </c>
      <c r="F31" s="11">
        <v>2</v>
      </c>
      <c r="G31" s="11">
        <v>1</v>
      </c>
      <c r="H31" s="11">
        <v>2</v>
      </c>
      <c r="I31" s="11">
        <v>2</v>
      </c>
      <c r="J31" s="19">
        <v>1</v>
      </c>
      <c r="K31" s="19">
        <v>0</v>
      </c>
    </row>
    <row r="32" spans="1:22" x14ac:dyDescent="0.3">
      <c r="A32" s="11" t="s">
        <v>66</v>
      </c>
      <c r="B32" s="11">
        <v>-64123.388493999999</v>
      </c>
      <c r="C32" s="11">
        <v>-3.7226104999976712</v>
      </c>
      <c r="D32" s="11">
        <v>0.27211199999147162</v>
      </c>
      <c r="E32" s="11">
        <v>3</v>
      </c>
      <c r="F32" s="11">
        <v>2</v>
      </c>
      <c r="G32" s="11">
        <v>1</v>
      </c>
      <c r="H32" s="11">
        <v>2</v>
      </c>
      <c r="I32" s="11">
        <v>1</v>
      </c>
      <c r="J32" s="19">
        <v>1</v>
      </c>
      <c r="K32" s="19">
        <v>0</v>
      </c>
    </row>
    <row r="33" spans="1:19" x14ac:dyDescent="0.3">
      <c r="A33" s="11" t="s">
        <v>67</v>
      </c>
      <c r="B33" s="11">
        <v>-64123.376656</v>
      </c>
      <c r="C33" s="11">
        <v>-3.7107724999991376</v>
      </c>
      <c r="D33" s="11">
        <v>0.28394999999000525</v>
      </c>
      <c r="E33" s="11">
        <v>3</v>
      </c>
      <c r="F33" s="11">
        <v>2</v>
      </c>
      <c r="G33" s="11">
        <v>1</v>
      </c>
      <c r="H33" s="11">
        <v>2</v>
      </c>
      <c r="I33" s="11">
        <v>1</v>
      </c>
      <c r="J33" s="19">
        <v>0</v>
      </c>
      <c r="K33" s="19">
        <v>0</v>
      </c>
    </row>
    <row r="34" spans="1:19" x14ac:dyDescent="0.3">
      <c r="A34" s="11" t="s">
        <v>68</v>
      </c>
      <c r="B34" s="11">
        <v>-64123.293799999999</v>
      </c>
      <c r="C34" s="11">
        <v>-3.6279164999982356</v>
      </c>
      <c r="D34" s="11">
        <v>0.36680599999090724</v>
      </c>
      <c r="E34" s="11">
        <v>4</v>
      </c>
      <c r="F34" s="11">
        <v>2</v>
      </c>
      <c r="G34" s="11">
        <v>2</v>
      </c>
      <c r="H34" s="11">
        <v>2</v>
      </c>
      <c r="I34" s="11">
        <v>0</v>
      </c>
      <c r="J34" s="19">
        <v>0</v>
      </c>
      <c r="K34" s="19">
        <v>0</v>
      </c>
    </row>
    <row r="35" spans="1:19" x14ac:dyDescent="0.3">
      <c r="A35" s="11" t="s">
        <v>69</v>
      </c>
      <c r="B35" s="11">
        <v>-64123.533239999997</v>
      </c>
      <c r="C35" s="11">
        <v>-3.8673564999957932</v>
      </c>
      <c r="D35" s="11">
        <v>0.12736599999334963</v>
      </c>
      <c r="E35" s="11">
        <v>0</v>
      </c>
      <c r="F35" s="11">
        <v>3</v>
      </c>
      <c r="G35" s="11">
        <v>2</v>
      </c>
      <c r="H35" s="11">
        <v>3</v>
      </c>
      <c r="I35" s="11">
        <v>0</v>
      </c>
      <c r="J35" s="19">
        <v>1</v>
      </c>
      <c r="K35" s="19">
        <v>0</v>
      </c>
      <c r="N35" t="s">
        <v>0</v>
      </c>
    </row>
    <row r="36" spans="1:19" ht="15" thickBot="1" x14ac:dyDescent="0.35">
      <c r="A36" s="11" t="s">
        <v>70</v>
      </c>
      <c r="B36" s="11">
        <v>-64123.557480000003</v>
      </c>
      <c r="C36" s="11">
        <v>-3.8915965000018957</v>
      </c>
      <c r="D36" s="11">
        <v>0.10312599998724714</v>
      </c>
      <c r="E36" s="11">
        <v>0</v>
      </c>
      <c r="F36" s="11">
        <v>2</v>
      </c>
      <c r="G36" s="11">
        <v>1</v>
      </c>
      <c r="H36" s="11">
        <v>4</v>
      </c>
      <c r="I36" s="11">
        <v>0</v>
      </c>
      <c r="J36" s="19">
        <v>1</v>
      </c>
      <c r="K36" s="19">
        <v>1</v>
      </c>
    </row>
    <row r="37" spans="1:19" x14ac:dyDescent="0.3">
      <c r="A37" s="11" t="s">
        <v>71</v>
      </c>
      <c r="B37" s="11">
        <v>-64140.104765999997</v>
      </c>
      <c r="C37" s="11">
        <v>-4.6282219999955174</v>
      </c>
      <c r="D37" s="11">
        <v>0.16544499999145401</v>
      </c>
      <c r="E37" s="11">
        <v>0</v>
      </c>
      <c r="F37" s="11">
        <v>6</v>
      </c>
      <c r="G37" s="11">
        <v>0</v>
      </c>
      <c r="H37" s="11">
        <v>0</v>
      </c>
      <c r="I37" s="11">
        <v>0</v>
      </c>
      <c r="J37" s="19">
        <v>6</v>
      </c>
      <c r="K37" s="19">
        <v>0</v>
      </c>
      <c r="N37" s="5" t="s">
        <v>1</v>
      </c>
      <c r="O37" s="5"/>
    </row>
    <row r="38" spans="1:19" x14ac:dyDescent="0.3">
      <c r="A38" s="11" t="s">
        <v>72</v>
      </c>
      <c r="B38" s="11">
        <v>-64140.140529999997</v>
      </c>
      <c r="C38" s="11">
        <v>-4.6639859999957167</v>
      </c>
      <c r="D38" s="11">
        <v>0.12968099999125471</v>
      </c>
      <c r="E38" s="11">
        <v>0</v>
      </c>
      <c r="F38" s="11">
        <v>1</v>
      </c>
      <c r="G38" s="11">
        <v>2</v>
      </c>
      <c r="H38" s="11">
        <v>6</v>
      </c>
      <c r="I38" s="11">
        <v>0</v>
      </c>
      <c r="J38" s="19">
        <v>2</v>
      </c>
      <c r="K38" s="19">
        <v>2</v>
      </c>
      <c r="N38" s="2" t="s">
        <v>2</v>
      </c>
      <c r="O38" s="2">
        <v>0.99583887096816592</v>
      </c>
    </row>
    <row r="39" spans="1:19" x14ac:dyDescent="0.3">
      <c r="A39" s="11" t="s">
        <v>73</v>
      </c>
      <c r="B39" s="11">
        <v>-64140.175926000004</v>
      </c>
      <c r="C39" s="11">
        <v>-4.6993820000023021</v>
      </c>
      <c r="D39" s="11">
        <v>9.4284999984669327E-2</v>
      </c>
      <c r="E39" s="11">
        <v>0</v>
      </c>
      <c r="F39" s="11">
        <v>0</v>
      </c>
      <c r="G39" s="11">
        <v>0</v>
      </c>
      <c r="H39" s="11">
        <v>9</v>
      </c>
      <c r="I39" s="11">
        <v>0</v>
      </c>
      <c r="J39" s="19">
        <v>3</v>
      </c>
      <c r="K39" s="19">
        <v>3</v>
      </c>
      <c r="N39" s="2" t="s">
        <v>3</v>
      </c>
      <c r="O39" s="2">
        <v>0.99169505693115134</v>
      </c>
    </row>
    <row r="40" spans="1:19" x14ac:dyDescent="0.3">
      <c r="A40" s="11" t="s">
        <v>74</v>
      </c>
      <c r="B40" s="11">
        <v>-64140.092383000003</v>
      </c>
      <c r="C40" s="11">
        <v>-4.6158390000016567</v>
      </c>
      <c r="D40" s="11">
        <v>0.17782799998531473</v>
      </c>
      <c r="E40" s="11">
        <v>0</v>
      </c>
      <c r="F40" s="11">
        <v>3</v>
      </c>
      <c r="G40" s="11">
        <v>3</v>
      </c>
      <c r="H40" s="11">
        <v>6</v>
      </c>
      <c r="I40" s="11">
        <v>0</v>
      </c>
      <c r="J40" s="19">
        <v>0</v>
      </c>
      <c r="K40" s="19">
        <v>0</v>
      </c>
      <c r="N40" s="2" t="s">
        <v>4</v>
      </c>
      <c r="O40" s="2">
        <v>0.97327699274846557</v>
      </c>
    </row>
    <row r="41" spans="1:19" x14ac:dyDescent="0.3">
      <c r="A41" s="11" t="s">
        <v>75</v>
      </c>
      <c r="B41" s="11">
        <v>-64140.100874000003</v>
      </c>
      <c r="C41" s="11">
        <v>-4.6243300000021605</v>
      </c>
      <c r="D41" s="11">
        <v>0.16933699998481089</v>
      </c>
      <c r="E41" s="11">
        <v>0</v>
      </c>
      <c r="F41" s="11">
        <v>3</v>
      </c>
      <c r="G41" s="11">
        <v>3</v>
      </c>
      <c r="H41" s="11">
        <v>5</v>
      </c>
      <c r="I41" s="11">
        <v>0</v>
      </c>
      <c r="J41" s="19">
        <v>1</v>
      </c>
      <c r="K41" s="19">
        <v>1</v>
      </c>
      <c r="N41" s="2" t="s">
        <v>5</v>
      </c>
      <c r="O41" s="2">
        <v>0.32862714152577388</v>
      </c>
    </row>
    <row r="42" spans="1:19" ht="15" thickBot="1" x14ac:dyDescent="0.35">
      <c r="A42" s="11" t="s">
        <v>76</v>
      </c>
      <c r="B42" s="11">
        <v>-64156.680456000002</v>
      </c>
      <c r="C42" s="11">
        <v>-5.3932515000006447</v>
      </c>
      <c r="D42" s="11">
        <v>0.19935999998415532</v>
      </c>
      <c r="E42" s="11">
        <v>0</v>
      </c>
      <c r="F42" s="11">
        <v>6</v>
      </c>
      <c r="G42" s="11">
        <v>1</v>
      </c>
      <c r="H42" s="11">
        <v>2</v>
      </c>
      <c r="I42" s="11">
        <v>0</v>
      </c>
      <c r="J42" s="19">
        <v>6</v>
      </c>
      <c r="K42" s="19">
        <v>1</v>
      </c>
      <c r="N42" s="3" t="s">
        <v>6</v>
      </c>
      <c r="O42" s="3">
        <v>64</v>
      </c>
    </row>
    <row r="43" spans="1:19" x14ac:dyDescent="0.3">
      <c r="A43" s="11" t="s">
        <v>77</v>
      </c>
      <c r="B43" s="11">
        <v>-64156.692351999998</v>
      </c>
      <c r="C43" s="11">
        <v>-5.4051474999969855</v>
      </c>
      <c r="D43" s="11">
        <v>0.18746399998781449</v>
      </c>
      <c r="E43" s="11">
        <v>0</v>
      </c>
      <c r="F43" s="11">
        <v>2</v>
      </c>
      <c r="G43" s="11">
        <v>3</v>
      </c>
      <c r="H43" s="11">
        <v>7</v>
      </c>
      <c r="I43" s="11">
        <v>0</v>
      </c>
      <c r="J43" s="19">
        <v>2</v>
      </c>
      <c r="K43" s="19">
        <v>2</v>
      </c>
    </row>
    <row r="44" spans="1:19" ht="15" thickBot="1" x14ac:dyDescent="0.35">
      <c r="A44" s="11" t="s">
        <v>78</v>
      </c>
      <c r="B44" s="11">
        <v>-64156.644838</v>
      </c>
      <c r="C44" s="11">
        <v>-5.3576334999989399</v>
      </c>
      <c r="D44" s="11">
        <v>0.23497799998586011</v>
      </c>
      <c r="E44" s="11">
        <v>0</v>
      </c>
      <c r="F44" s="11">
        <v>4</v>
      </c>
      <c r="G44" s="11">
        <v>4</v>
      </c>
      <c r="H44" s="11">
        <v>7</v>
      </c>
      <c r="I44" s="11">
        <v>0</v>
      </c>
      <c r="J44" s="19">
        <v>1</v>
      </c>
      <c r="K44" s="19">
        <v>1</v>
      </c>
      <c r="N44" t="s">
        <v>7</v>
      </c>
    </row>
    <row r="45" spans="1:19" x14ac:dyDescent="0.3">
      <c r="A45" s="11" t="s">
        <v>79</v>
      </c>
      <c r="B45" s="11">
        <v>-64173.216370000002</v>
      </c>
      <c r="C45" s="11">
        <v>-6.1185050000006953</v>
      </c>
      <c r="D45" s="11">
        <v>0.27305099998193327</v>
      </c>
      <c r="E45" s="11">
        <v>0</v>
      </c>
      <c r="F45" s="11">
        <v>5</v>
      </c>
      <c r="G45" s="11">
        <v>4</v>
      </c>
      <c r="H45" s="11">
        <v>8</v>
      </c>
      <c r="I45" s="11">
        <v>0</v>
      </c>
      <c r="J45" s="19">
        <v>2</v>
      </c>
      <c r="K45" s="19">
        <v>2</v>
      </c>
      <c r="N45" s="4"/>
      <c r="O45" s="4" t="s">
        <v>12</v>
      </c>
      <c r="P45" s="4" t="s">
        <v>13</v>
      </c>
      <c r="Q45" s="4" t="s">
        <v>14</v>
      </c>
      <c r="R45" s="4" t="s">
        <v>15</v>
      </c>
      <c r="S45" s="4" t="s">
        <v>16</v>
      </c>
    </row>
    <row r="46" spans="1:19" x14ac:dyDescent="0.3">
      <c r="A46" s="11" t="s">
        <v>80</v>
      </c>
      <c r="B46" s="11">
        <v>-64189.759487000003</v>
      </c>
      <c r="C46" s="11">
        <v>-6.8509615000017732</v>
      </c>
      <c r="D46" s="11">
        <v>0.33953899997868398</v>
      </c>
      <c r="E46" s="11">
        <v>0</v>
      </c>
      <c r="F46" s="11">
        <v>6</v>
      </c>
      <c r="G46" s="11">
        <v>6</v>
      </c>
      <c r="H46" s="11">
        <v>10</v>
      </c>
      <c r="I46" s="11">
        <v>0</v>
      </c>
      <c r="J46" s="19">
        <v>3</v>
      </c>
      <c r="K46" s="19">
        <v>3</v>
      </c>
      <c r="N46" s="2" t="s">
        <v>8</v>
      </c>
      <c r="O46" s="2">
        <v>7</v>
      </c>
      <c r="P46" s="2">
        <v>735.0606985914842</v>
      </c>
      <c r="Q46" s="2">
        <v>105.00867122735488</v>
      </c>
      <c r="R46" s="2">
        <v>972.34034127912025</v>
      </c>
      <c r="S46" s="2">
        <v>4.8001140923805127E-56</v>
      </c>
    </row>
    <row r="47" spans="1:19" x14ac:dyDescent="0.3">
      <c r="A47" s="11" t="s">
        <v>81</v>
      </c>
      <c r="B47" s="11">
        <v>-64206.330829999999</v>
      </c>
      <c r="C47" s="11">
        <v>-7.6116439999977388</v>
      </c>
      <c r="D47" s="11">
        <v>0.37780099998054695</v>
      </c>
      <c r="E47" s="11">
        <v>0</v>
      </c>
      <c r="F47" s="11">
        <v>7</v>
      </c>
      <c r="G47" s="11">
        <v>6</v>
      </c>
      <c r="H47" s="11">
        <v>12</v>
      </c>
      <c r="I47" s="11">
        <v>0</v>
      </c>
      <c r="J47" s="19">
        <v>4</v>
      </c>
      <c r="K47" s="19">
        <v>4</v>
      </c>
      <c r="N47" s="2" t="s">
        <v>9</v>
      </c>
      <c r="O47" s="2">
        <v>57</v>
      </c>
      <c r="P47" s="2">
        <v>6.155760494401858</v>
      </c>
      <c r="Q47" s="2">
        <v>0.10799579814740101</v>
      </c>
      <c r="R47" s="2"/>
      <c r="S47" s="2"/>
    </row>
    <row r="48" spans="1:19" ht="15" thickBot="1" x14ac:dyDescent="0.35">
      <c r="A48" s="11" t="s">
        <v>82</v>
      </c>
      <c r="B48" s="11">
        <v>-64222.867629</v>
      </c>
      <c r="C48" s="11">
        <v>-8.3377824999990935</v>
      </c>
      <c r="D48" s="11">
        <v>0.45060699997702081</v>
      </c>
      <c r="E48" s="11">
        <v>0</v>
      </c>
      <c r="F48" s="11">
        <v>8</v>
      </c>
      <c r="G48" s="11">
        <v>8</v>
      </c>
      <c r="H48" s="11">
        <v>15</v>
      </c>
      <c r="I48" s="11">
        <v>0</v>
      </c>
      <c r="J48" s="19">
        <v>5</v>
      </c>
      <c r="K48" s="19">
        <v>5</v>
      </c>
      <c r="N48" s="3" t="s">
        <v>10</v>
      </c>
      <c r="O48" s="3">
        <v>64</v>
      </c>
      <c r="P48" s="3">
        <v>741.21645908588607</v>
      </c>
      <c r="Q48" s="3"/>
      <c r="R48" s="3"/>
      <c r="S48" s="3"/>
    </row>
    <row r="49" spans="1:22" ht="15" thickBot="1" x14ac:dyDescent="0.35">
      <c r="A49" s="11" t="s">
        <v>83</v>
      </c>
      <c r="B49" s="11">
        <v>-64239.428451</v>
      </c>
      <c r="C49" s="11">
        <v>-9.0879439999985436</v>
      </c>
      <c r="D49" s="11">
        <v>0.49938999997539923</v>
      </c>
      <c r="E49" s="11">
        <v>0</v>
      </c>
      <c r="F49" s="11">
        <v>9</v>
      </c>
      <c r="G49" s="11">
        <v>9</v>
      </c>
      <c r="H49" s="11">
        <v>18</v>
      </c>
      <c r="I49" s="11">
        <v>0</v>
      </c>
      <c r="J49" s="19">
        <v>6</v>
      </c>
      <c r="K49" s="19">
        <v>6</v>
      </c>
    </row>
    <row r="50" spans="1:22" x14ac:dyDescent="0.3">
      <c r="A50" s="11" t="s">
        <v>84</v>
      </c>
      <c r="B50" s="11">
        <v>-64255.982251000001</v>
      </c>
      <c r="C50" s="11">
        <v>-9.8310835000000623</v>
      </c>
      <c r="D50" s="11">
        <v>0.55519499997170918</v>
      </c>
      <c r="E50" s="11">
        <v>0</v>
      </c>
      <c r="F50" s="11">
        <v>10</v>
      </c>
      <c r="G50" s="11">
        <v>10</v>
      </c>
      <c r="H50" s="11">
        <v>20</v>
      </c>
      <c r="I50" s="11">
        <v>0</v>
      </c>
      <c r="J50" s="19">
        <v>8</v>
      </c>
      <c r="K50" s="19">
        <v>8</v>
      </c>
      <c r="N50" s="4"/>
      <c r="O50" s="4" t="s">
        <v>17</v>
      </c>
      <c r="P50" s="4" t="s">
        <v>5</v>
      </c>
      <c r="Q50" s="4" t="s">
        <v>18</v>
      </c>
      <c r="R50" s="4" t="s">
        <v>19</v>
      </c>
      <c r="S50" s="4" t="s">
        <v>20</v>
      </c>
      <c r="T50" s="4" t="s">
        <v>21</v>
      </c>
      <c r="U50" s="4" t="s">
        <v>22</v>
      </c>
      <c r="V50" s="4" t="s">
        <v>23</v>
      </c>
    </row>
    <row r="51" spans="1:22" x14ac:dyDescent="0.3">
      <c r="A51" s="11" t="s">
        <v>85</v>
      </c>
      <c r="B51" s="11">
        <v>-64272.532045</v>
      </c>
      <c r="C51" s="11">
        <v>-10.570216999998706</v>
      </c>
      <c r="D51" s="11">
        <v>0.61500599997089367</v>
      </c>
      <c r="E51" s="11">
        <v>0</v>
      </c>
      <c r="F51" s="11">
        <v>12</v>
      </c>
      <c r="G51" s="11">
        <v>11</v>
      </c>
      <c r="H51" s="11">
        <v>22</v>
      </c>
      <c r="I51" s="11">
        <v>0</v>
      </c>
      <c r="J51" s="19">
        <v>10</v>
      </c>
      <c r="K51" s="19">
        <v>10</v>
      </c>
      <c r="N51" s="2" t="s">
        <v>11</v>
      </c>
      <c r="O51" s="2">
        <v>0</v>
      </c>
      <c r="P51" s="2" t="e">
        <v>#N/A</v>
      </c>
      <c r="Q51" s="2" t="e">
        <v>#N/A</v>
      </c>
      <c r="R51" s="2" t="e">
        <v>#N/A</v>
      </c>
      <c r="S51" s="2" t="e">
        <v>#N/A</v>
      </c>
      <c r="T51" s="2" t="e">
        <v>#N/A</v>
      </c>
      <c r="U51" s="2" t="e">
        <v>#N/A</v>
      </c>
      <c r="V51" s="2" t="e">
        <v>#N/A</v>
      </c>
    </row>
    <row r="52" spans="1:22" x14ac:dyDescent="0.3">
      <c r="A52" s="11" t="s">
        <v>86</v>
      </c>
      <c r="B52" s="11">
        <v>-64289.054872000001</v>
      </c>
      <c r="C52" s="11">
        <v>-11.282383499999412</v>
      </c>
      <c r="D52" s="11">
        <v>0.70178399996801666</v>
      </c>
      <c r="E52" s="11">
        <v>0</v>
      </c>
      <c r="F52" s="11">
        <v>13</v>
      </c>
      <c r="G52" s="11">
        <v>13</v>
      </c>
      <c r="H52" s="11">
        <v>25</v>
      </c>
      <c r="I52" s="11">
        <v>0</v>
      </c>
      <c r="J52" s="19">
        <v>12</v>
      </c>
      <c r="K52" s="19">
        <v>12</v>
      </c>
      <c r="N52" s="2" t="s">
        <v>24</v>
      </c>
      <c r="O52" s="2">
        <v>0.13539815959410878</v>
      </c>
      <c r="P52" s="2">
        <v>3.7569135477781887E-2</v>
      </c>
      <c r="Q52" s="2">
        <v>3.6039732581598067</v>
      </c>
      <c r="R52" s="2">
        <v>6.5930196369160432E-4</v>
      </c>
      <c r="S52" s="2">
        <v>6.0167263464426232E-2</v>
      </c>
      <c r="T52" s="2">
        <v>0.21062905572379131</v>
      </c>
      <c r="U52" s="2">
        <v>6.0167263464426232E-2</v>
      </c>
      <c r="V52" s="2">
        <v>0.21062905572379131</v>
      </c>
    </row>
    <row r="53" spans="1:22" x14ac:dyDescent="0.3">
      <c r="A53" s="11" t="s">
        <v>87</v>
      </c>
      <c r="B53" s="11">
        <v>-64305.607302999997</v>
      </c>
      <c r="C53" s="11">
        <v>-12.024153999995832</v>
      </c>
      <c r="D53" s="11">
        <v>0.75895799996942515</v>
      </c>
      <c r="E53" s="11">
        <v>0</v>
      </c>
      <c r="F53" s="11">
        <v>15</v>
      </c>
      <c r="G53" s="11">
        <v>14</v>
      </c>
      <c r="H53" s="11">
        <v>28</v>
      </c>
      <c r="I53" s="11">
        <v>0</v>
      </c>
      <c r="J53" s="19">
        <v>14</v>
      </c>
      <c r="K53" s="19">
        <v>14</v>
      </c>
      <c r="N53" s="2" t="s">
        <v>25</v>
      </c>
      <c r="O53" s="2">
        <v>5.2670956405972032E-2</v>
      </c>
      <c r="P53" s="2">
        <v>3.9956831762882741E-2</v>
      </c>
      <c r="Q53" s="2">
        <v>1.3181965156431614</v>
      </c>
      <c r="R53" s="2">
        <v>0.19271072417657742</v>
      </c>
      <c r="S53" s="2">
        <v>-2.7341219061902435E-2</v>
      </c>
      <c r="T53" s="2">
        <v>0.1326831318738465</v>
      </c>
      <c r="U53" s="2">
        <v>-2.7341219061902435E-2</v>
      </c>
      <c r="V53" s="2">
        <v>0.1326831318738465</v>
      </c>
    </row>
    <row r="54" spans="1:22" x14ac:dyDescent="0.3">
      <c r="A54" s="11" t="s">
        <v>88</v>
      </c>
      <c r="B54" s="11">
        <v>-64322.127703999999</v>
      </c>
      <c r="C54" s="11">
        <v>-12.733894499997405</v>
      </c>
      <c r="D54" s="11">
        <v>0.84816199996568109</v>
      </c>
      <c r="E54" s="11">
        <v>0</v>
      </c>
      <c r="F54" s="11">
        <v>16</v>
      </c>
      <c r="G54" s="11">
        <v>16</v>
      </c>
      <c r="H54" s="11">
        <v>32</v>
      </c>
      <c r="I54" s="11">
        <v>0</v>
      </c>
      <c r="J54" s="19">
        <v>16</v>
      </c>
      <c r="K54" s="19">
        <v>16</v>
      </c>
      <c r="N54" s="2" t="s">
        <v>26</v>
      </c>
      <c r="O54" s="2">
        <v>-7.7315427980799309E-2</v>
      </c>
      <c r="P54" s="2">
        <v>4.6799776369372541E-2</v>
      </c>
      <c r="Q54" s="2">
        <v>-1.6520469536131652</v>
      </c>
      <c r="R54" s="2">
        <v>0.10402392231708363</v>
      </c>
      <c r="S54" s="2">
        <v>-0.17103036366301128</v>
      </c>
      <c r="T54" s="2">
        <v>1.6399507701412672E-2</v>
      </c>
      <c r="U54" s="2">
        <v>-0.17103036366301128</v>
      </c>
      <c r="V54" s="2">
        <v>1.6399507701412672E-2</v>
      </c>
    </row>
    <row r="55" spans="1:22" x14ac:dyDescent="0.3">
      <c r="A55" s="11" t="s">
        <v>89</v>
      </c>
      <c r="B55" s="11">
        <v>-64338.647261999999</v>
      </c>
      <c r="C55" s="11">
        <v>-13.442791999997382</v>
      </c>
      <c r="D55" s="11">
        <v>0.93820899996353191</v>
      </c>
      <c r="E55" s="11">
        <v>0</v>
      </c>
      <c r="F55" s="11">
        <v>18</v>
      </c>
      <c r="G55" s="11">
        <v>18</v>
      </c>
      <c r="H55" s="11">
        <v>36</v>
      </c>
      <c r="I55" s="11">
        <v>0</v>
      </c>
      <c r="J55" s="19">
        <v>18</v>
      </c>
      <c r="K55" s="19">
        <v>18</v>
      </c>
      <c r="N55" s="2" t="s">
        <v>27</v>
      </c>
      <c r="O55" s="2">
        <v>5.6395111102985583E-2</v>
      </c>
      <c r="P55" s="2">
        <v>2.616573527750804E-2</v>
      </c>
      <c r="Q55" s="2">
        <v>2.1553038928534369</v>
      </c>
      <c r="R55" s="2">
        <v>3.5374752245317047E-2</v>
      </c>
      <c r="S55" s="2">
        <v>3.9991299928235566E-3</v>
      </c>
      <c r="T55" s="2">
        <v>0.10879109221314762</v>
      </c>
      <c r="U55" s="2">
        <v>3.9991299928235566E-3</v>
      </c>
      <c r="V55" s="2">
        <v>0.10879109221314762</v>
      </c>
    </row>
    <row r="56" spans="1:22" x14ac:dyDescent="0.3">
      <c r="A56" s="11" t="s">
        <v>105</v>
      </c>
      <c r="B56">
        <v>-64353.736316000002</v>
      </c>
      <c r="C56" s="11">
        <v>-12.72118550000107</v>
      </c>
      <c r="D56">
        <v>2.4587599999576728</v>
      </c>
      <c r="E56">
        <v>18</v>
      </c>
      <c r="F56" s="11">
        <v>11</v>
      </c>
      <c r="G56" s="11">
        <v>9</v>
      </c>
      <c r="H56" s="11">
        <v>19</v>
      </c>
      <c r="I56" s="11">
        <v>37</v>
      </c>
      <c r="J56" s="19">
        <v>10</v>
      </c>
      <c r="K56" s="19">
        <v>11</v>
      </c>
      <c r="N56" s="2" t="s">
        <v>28</v>
      </c>
      <c r="O56" s="2">
        <v>8.9764891100913864E-3</v>
      </c>
      <c r="P56" s="2">
        <v>1.8708595802151118E-2</v>
      </c>
      <c r="Q56" s="2">
        <v>0.47980560406672895</v>
      </c>
      <c r="R56" s="2">
        <v>0.63320167779902015</v>
      </c>
      <c r="S56" s="2">
        <v>-2.8486827775552948E-2</v>
      </c>
      <c r="T56" s="2">
        <v>4.6439805995735717E-2</v>
      </c>
      <c r="U56" s="2">
        <v>-2.8486827775552948E-2</v>
      </c>
      <c r="V56" s="2">
        <v>4.6439805995735717E-2</v>
      </c>
    </row>
    <row r="57" spans="1:22" x14ac:dyDescent="0.3">
      <c r="A57" s="11" t="s">
        <v>106</v>
      </c>
      <c r="B57">
        <v>-64354.850614000003</v>
      </c>
      <c r="C57" s="11">
        <v>-13.835483500001487</v>
      </c>
      <c r="D57">
        <v>1.3444619999572556</v>
      </c>
      <c r="E57">
        <v>4</v>
      </c>
      <c r="F57" s="11">
        <v>18</v>
      </c>
      <c r="G57" s="11">
        <v>18</v>
      </c>
      <c r="H57" s="11">
        <v>36</v>
      </c>
      <c r="I57" s="11">
        <v>8</v>
      </c>
      <c r="J57" s="19">
        <v>18</v>
      </c>
      <c r="K57" s="19">
        <v>18</v>
      </c>
      <c r="N57" s="2" t="s">
        <v>29</v>
      </c>
      <c r="O57" s="2">
        <v>-4.3696563697820399E-2</v>
      </c>
      <c r="P57" s="2">
        <v>3.7983114735842018E-2</v>
      </c>
      <c r="Q57" s="2">
        <v>-1.1504207593746123</v>
      </c>
      <c r="R57" s="2">
        <v>0.25477418102156901</v>
      </c>
      <c r="S57" s="2">
        <v>-0.11975643899263128</v>
      </c>
      <c r="T57" s="2">
        <v>3.2363311596990484E-2</v>
      </c>
      <c r="U57" s="2">
        <v>-0.11975643899263128</v>
      </c>
      <c r="V57" s="2">
        <v>3.2363311596990484E-2</v>
      </c>
    </row>
    <row r="58" spans="1:22" ht="15" thickBot="1" x14ac:dyDescent="0.35">
      <c r="A58" s="11" t="s">
        <v>107</v>
      </c>
      <c r="B58">
        <v>-64371.048871999999</v>
      </c>
      <c r="C58" s="11">
        <v>-14.22308099999816</v>
      </c>
      <c r="D58">
        <v>1.7558089999584112</v>
      </c>
      <c r="E58" s="11">
        <v>8</v>
      </c>
      <c r="F58" s="11">
        <v>18</v>
      </c>
      <c r="G58" s="11">
        <v>18</v>
      </c>
      <c r="H58" s="11">
        <v>36</v>
      </c>
      <c r="I58" s="11">
        <v>16</v>
      </c>
      <c r="J58" s="19">
        <v>18</v>
      </c>
      <c r="K58" s="19">
        <v>18</v>
      </c>
      <c r="N58" s="3" t="s">
        <v>30</v>
      </c>
      <c r="O58" s="3">
        <v>-9.6540481214501487E-4</v>
      </c>
      <c r="P58" s="3">
        <v>4.7002804836779398E-2</v>
      </c>
      <c r="Q58" s="3">
        <v>-2.053930218627276E-2</v>
      </c>
      <c r="R58" s="3">
        <v>0.98368489124345793</v>
      </c>
      <c r="S58" s="3">
        <v>-9.5086897987592026E-2</v>
      </c>
      <c r="T58" s="3">
        <v>9.3156088363301984E-2</v>
      </c>
      <c r="U58" s="3">
        <v>-9.5086897987592026E-2</v>
      </c>
      <c r="V58" s="3">
        <v>9.3156088363301984E-2</v>
      </c>
    </row>
    <row r="59" spans="1:22" x14ac:dyDescent="0.3">
      <c r="A59" t="s">
        <v>96</v>
      </c>
      <c r="B59">
        <v>-64386.647809000002</v>
      </c>
      <c r="C59" s="11">
        <v>-14.011357500000656</v>
      </c>
      <c r="D59">
        <v>2.7664769999537455</v>
      </c>
      <c r="E59" s="11">
        <v>22</v>
      </c>
      <c r="F59" s="11">
        <v>10</v>
      </c>
      <c r="G59" s="11">
        <v>14</v>
      </c>
      <c r="H59" s="11">
        <v>19</v>
      </c>
      <c r="I59" s="11">
        <v>51</v>
      </c>
      <c r="J59" s="19">
        <v>17</v>
      </c>
      <c r="K59" s="19">
        <v>10</v>
      </c>
    </row>
    <row r="60" spans="1:22" x14ac:dyDescent="0.3">
      <c r="A60" s="11" t="s">
        <v>108</v>
      </c>
      <c r="B60">
        <v>-64387.175080000001</v>
      </c>
      <c r="C60" s="11">
        <v>-14.538628499999675</v>
      </c>
      <c r="D60">
        <v>2.2392059999547271</v>
      </c>
      <c r="E60" s="11">
        <v>12</v>
      </c>
      <c r="F60" s="11">
        <v>18</v>
      </c>
      <c r="G60" s="11">
        <v>19</v>
      </c>
      <c r="H60" s="11">
        <v>36</v>
      </c>
      <c r="I60" s="11">
        <v>24</v>
      </c>
      <c r="J60" s="19">
        <v>18</v>
      </c>
      <c r="K60" s="19">
        <v>19</v>
      </c>
    </row>
    <row r="61" spans="1:22" x14ac:dyDescent="0.3">
      <c r="A61" t="s">
        <v>97</v>
      </c>
      <c r="B61">
        <v>-64434.027554</v>
      </c>
      <c r="C61" s="11">
        <v>-13.959120999999016</v>
      </c>
      <c r="D61">
        <v>5.2155469999488702</v>
      </c>
      <c r="E61" s="11">
        <v>35</v>
      </c>
      <c r="F61" s="11">
        <v>16</v>
      </c>
      <c r="G61" s="11">
        <v>16</v>
      </c>
      <c r="H61" s="11">
        <v>31</v>
      </c>
      <c r="I61" s="11">
        <v>62</v>
      </c>
      <c r="J61" s="19">
        <v>15</v>
      </c>
      <c r="K61" s="19">
        <v>17</v>
      </c>
    </row>
    <row r="62" spans="1:22" x14ac:dyDescent="0.3">
      <c r="A62" t="s">
        <v>98</v>
      </c>
      <c r="B62">
        <v>-64466.065038000001</v>
      </c>
      <c r="C62" s="11">
        <v>-14.375283999999453</v>
      </c>
      <c r="D62">
        <v>6.3972729999440894</v>
      </c>
      <c r="E62" s="11">
        <v>37</v>
      </c>
      <c r="F62" s="11">
        <v>19</v>
      </c>
      <c r="G62" s="11">
        <v>19</v>
      </c>
      <c r="H62" s="11">
        <v>36</v>
      </c>
      <c r="I62" s="11">
        <v>75</v>
      </c>
      <c r="J62" s="19">
        <v>18</v>
      </c>
      <c r="K62" s="19">
        <v>19</v>
      </c>
    </row>
    <row r="63" spans="1:22" x14ac:dyDescent="0.3">
      <c r="A63" t="s">
        <v>99</v>
      </c>
      <c r="B63">
        <v>-64499.213665000003</v>
      </c>
      <c r="C63" s="11">
        <v>-15.902590000001737</v>
      </c>
      <c r="D63">
        <v>6.4678559999374627</v>
      </c>
      <c r="E63" s="11">
        <v>41</v>
      </c>
      <c r="F63" s="11">
        <v>22</v>
      </c>
      <c r="G63" s="11">
        <v>21</v>
      </c>
      <c r="H63" s="11">
        <v>44</v>
      </c>
      <c r="I63" s="11">
        <v>90</v>
      </c>
      <c r="J63" s="19">
        <v>22</v>
      </c>
      <c r="K63" s="19">
        <v>20</v>
      </c>
    </row>
    <row r="64" spans="1:22" x14ac:dyDescent="0.3">
      <c r="A64" t="s">
        <v>100</v>
      </c>
      <c r="B64">
        <v>-64531.031221999998</v>
      </c>
      <c r="C64" s="11">
        <v>-16.09882599999662</v>
      </c>
      <c r="D64">
        <v>7.8695089999382368</v>
      </c>
      <c r="E64" s="11">
        <v>49</v>
      </c>
      <c r="F64" s="11">
        <v>25</v>
      </c>
      <c r="G64" s="11">
        <v>26</v>
      </c>
      <c r="H64" s="11">
        <v>48</v>
      </c>
      <c r="I64" s="11">
        <v>100</v>
      </c>
      <c r="J64" s="19">
        <v>24</v>
      </c>
      <c r="K64" s="19">
        <v>26</v>
      </c>
    </row>
    <row r="65" spans="1:11" x14ac:dyDescent="0.3">
      <c r="A65" t="s">
        <v>101</v>
      </c>
      <c r="B65">
        <v>-64546.910004999998</v>
      </c>
      <c r="C65" s="11">
        <v>-16.166948499996693</v>
      </c>
      <c r="D65">
        <v>8.6003309999359914</v>
      </c>
      <c r="E65" s="11">
        <v>52</v>
      </c>
      <c r="F65" s="11">
        <v>26</v>
      </c>
      <c r="G65" s="11">
        <v>26</v>
      </c>
      <c r="H65" s="11">
        <v>52</v>
      </c>
      <c r="I65" s="11">
        <v>108</v>
      </c>
      <c r="J65" s="19">
        <v>27</v>
      </c>
      <c r="K65" s="19">
        <v>27</v>
      </c>
    </row>
    <row r="66" spans="1:11" x14ac:dyDescent="0.3">
      <c r="A66" t="s">
        <v>102</v>
      </c>
      <c r="B66">
        <v>-64578.184023000002</v>
      </c>
      <c r="C66" s="11">
        <v>-15.819645500000433</v>
      </c>
      <c r="D66">
        <v>10.545522999927911</v>
      </c>
      <c r="E66" s="11">
        <v>60</v>
      </c>
      <c r="F66" s="11">
        <v>30</v>
      </c>
      <c r="G66" s="11">
        <v>31</v>
      </c>
      <c r="H66" s="11">
        <v>60</v>
      </c>
      <c r="I66" s="11">
        <v>121</v>
      </c>
      <c r="J66" s="19">
        <v>30</v>
      </c>
      <c r="K66" s="19">
        <v>30</v>
      </c>
    </row>
    <row r="67" spans="1:11" x14ac:dyDescent="0.3">
      <c r="A67" t="s">
        <v>103</v>
      </c>
      <c r="B67">
        <v>-64609.211774000003</v>
      </c>
      <c r="C67" s="11">
        <v>-15.226075500001912</v>
      </c>
      <c r="D67">
        <v>12.736981999922087</v>
      </c>
      <c r="E67" s="11">
        <v>68</v>
      </c>
      <c r="F67" s="11">
        <v>34</v>
      </c>
      <c r="G67" s="11">
        <v>34</v>
      </c>
      <c r="H67" s="11">
        <v>68</v>
      </c>
      <c r="I67" s="11">
        <v>136</v>
      </c>
      <c r="J67" s="19">
        <v>34</v>
      </c>
      <c r="K67" s="19">
        <v>34</v>
      </c>
    </row>
    <row r="68" spans="1:11" x14ac:dyDescent="0.3">
      <c r="A68" t="s">
        <v>104</v>
      </c>
      <c r="B68">
        <v>-64624.653096000002</v>
      </c>
      <c r="C68" s="11">
        <v>-14.856737000000635</v>
      </c>
      <c r="D68">
        <v>13.905264999921194</v>
      </c>
      <c r="E68" s="11">
        <v>72</v>
      </c>
      <c r="F68" s="11">
        <v>36</v>
      </c>
      <c r="G68" s="11">
        <v>36</v>
      </c>
      <c r="H68" s="11">
        <v>72</v>
      </c>
      <c r="I68" s="11">
        <v>144</v>
      </c>
      <c r="J68" s="19">
        <v>36</v>
      </c>
      <c r="K68" s="19">
        <v>36</v>
      </c>
    </row>
  </sheetData>
  <conditionalFormatting sqref="A5:K55 C56:C68 A56:A58 F56:K58 E59:K68 A60 E58">
    <cfRule type="expression" dxfId="2" priority="1">
      <formula>MOD(ROW(),2)&gt;0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3"/>
  <sheetViews>
    <sheetView topLeftCell="A32" zoomScale="91" zoomScaleNormal="91" workbookViewId="0">
      <selection activeCell="P25" sqref="P25"/>
    </sheetView>
  </sheetViews>
  <sheetFormatPr defaultRowHeight="14.4" x14ac:dyDescent="0.3"/>
  <cols>
    <col min="1" max="1" width="27.88671875" bestFit="1" customWidth="1"/>
    <col min="14" max="14" width="18" bestFit="1" customWidth="1"/>
    <col min="15" max="15" width="12.6640625" bestFit="1" customWidth="1"/>
    <col min="16" max="16" width="14.5546875" bestFit="1" customWidth="1"/>
    <col min="17" max="18" width="12" bestFit="1" customWidth="1"/>
    <col min="19" max="19" width="13.44140625" bestFit="1" customWidth="1"/>
    <col min="20" max="22" width="12.6640625" bestFit="1" customWidth="1"/>
  </cols>
  <sheetData>
    <row r="1" spans="1:27" x14ac:dyDescent="0.3">
      <c r="B1" s="14" t="s">
        <v>38</v>
      </c>
      <c r="C1" s="14" t="s">
        <v>90</v>
      </c>
      <c r="Q1" s="7" t="s">
        <v>41</v>
      </c>
    </row>
    <row r="2" spans="1:27" ht="15.6" x14ac:dyDescent="0.3">
      <c r="C2" s="6"/>
      <c r="D2" s="6"/>
      <c r="Q2" s="8">
        <v>-31.621320999999998</v>
      </c>
    </row>
    <row r="3" spans="1:27" x14ac:dyDescent="0.3">
      <c r="A3" s="9" t="s">
        <v>39</v>
      </c>
      <c r="B3" s="9">
        <v>-64040.612581000001</v>
      </c>
      <c r="C3" s="9"/>
      <c r="P3" t="s">
        <v>42</v>
      </c>
      <c r="Q3" t="s">
        <v>43</v>
      </c>
    </row>
    <row r="4" spans="1:27" ht="15.6" x14ac:dyDescent="0.3">
      <c r="A4" s="12" t="s">
        <v>40</v>
      </c>
      <c r="B4" s="12">
        <v>-64057.222185999999</v>
      </c>
      <c r="C4" s="12">
        <f>B4-$B$3-$R$4</f>
        <v>-0.79894449999782857</v>
      </c>
      <c r="D4" s="11"/>
      <c r="E4" s="17" t="s">
        <v>31</v>
      </c>
      <c r="F4" s="13" t="s">
        <v>32</v>
      </c>
      <c r="G4" s="13" t="s">
        <v>33</v>
      </c>
      <c r="H4" s="13" t="s">
        <v>34</v>
      </c>
      <c r="I4" s="13" t="s">
        <v>35</v>
      </c>
      <c r="J4" s="13" t="s">
        <v>36</v>
      </c>
      <c r="K4" s="13" t="s">
        <v>37</v>
      </c>
      <c r="P4">
        <f>Q4*2-4.525</f>
        <v>-31.621000000000002</v>
      </c>
      <c r="Q4">
        <v>-13.548</v>
      </c>
      <c r="R4">
        <f>Q2/2</f>
        <v>-15.810660499999999</v>
      </c>
    </row>
    <row r="5" spans="1:27" ht="15.6" x14ac:dyDescent="0.3">
      <c r="A5" s="10" t="s">
        <v>95</v>
      </c>
      <c r="B5" s="10">
        <v>-64073.824418999997</v>
      </c>
      <c r="C5" s="11">
        <f t="shared" ref="C5:C8" si="0">B5-$B$3-2*$R$4</f>
        <v>-1.590516999995625</v>
      </c>
      <c r="D5" s="11">
        <v>7.3720000000321306E-3</v>
      </c>
      <c r="E5" s="18">
        <v>0</v>
      </c>
      <c r="F5" s="10">
        <v>0</v>
      </c>
      <c r="G5" s="10">
        <v>1</v>
      </c>
      <c r="H5" s="10">
        <v>0</v>
      </c>
      <c r="I5" s="10">
        <v>0</v>
      </c>
      <c r="J5" s="18">
        <v>0</v>
      </c>
      <c r="K5" s="18">
        <v>0</v>
      </c>
      <c r="Q5" t="s">
        <v>44</v>
      </c>
      <c r="T5">
        <v>-12.276583</v>
      </c>
      <c r="U5" s="1"/>
    </row>
    <row r="6" spans="1:27" ht="15.6" x14ac:dyDescent="0.3">
      <c r="A6" s="11" t="s">
        <v>32</v>
      </c>
      <c r="B6" s="11">
        <v>-64073.795804000001</v>
      </c>
      <c r="C6" s="11">
        <f t="shared" si="0"/>
        <v>-1.5619019999999999</v>
      </c>
      <c r="D6" s="11">
        <v>3.5986999995657243E-2</v>
      </c>
      <c r="E6" s="18">
        <v>0</v>
      </c>
      <c r="F6" s="10">
        <v>1</v>
      </c>
      <c r="G6" s="10">
        <v>0</v>
      </c>
      <c r="H6" s="10">
        <v>0</v>
      </c>
      <c r="I6" s="10">
        <v>0</v>
      </c>
      <c r="J6" s="18">
        <v>0</v>
      </c>
      <c r="K6" s="18">
        <v>0</v>
      </c>
      <c r="O6" s="1"/>
      <c r="P6" s="1"/>
      <c r="Q6" s="1"/>
      <c r="R6" s="1"/>
      <c r="S6" s="1"/>
      <c r="T6" s="1"/>
      <c r="U6" s="1"/>
    </row>
    <row r="7" spans="1:27" ht="15.6" x14ac:dyDescent="0.3">
      <c r="A7" s="11" t="s">
        <v>34</v>
      </c>
      <c r="B7" s="11">
        <v>-64073.826342</v>
      </c>
      <c r="C7" s="11">
        <f t="shared" si="0"/>
        <v>-1.592439999999069</v>
      </c>
      <c r="D7" s="11">
        <v>5.4489999965880997E-3</v>
      </c>
      <c r="E7" s="18">
        <v>0</v>
      </c>
      <c r="F7" s="10">
        <v>0</v>
      </c>
      <c r="G7" s="10">
        <v>0</v>
      </c>
      <c r="H7" s="10">
        <v>1</v>
      </c>
      <c r="I7" s="10">
        <v>0</v>
      </c>
      <c r="J7" s="18">
        <v>0</v>
      </c>
      <c r="K7" s="18">
        <v>0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6" x14ac:dyDescent="0.3">
      <c r="A8" s="11" t="s">
        <v>35</v>
      </c>
      <c r="B8" s="11">
        <v>-64073.820822000001</v>
      </c>
      <c r="C8" s="11">
        <f t="shared" si="0"/>
        <v>-1.5869200000002728</v>
      </c>
      <c r="D8" s="11">
        <v>1.0968999995384365E-2</v>
      </c>
      <c r="E8" s="18">
        <v>0</v>
      </c>
      <c r="F8" s="10">
        <v>0</v>
      </c>
      <c r="G8" s="10">
        <v>0</v>
      </c>
      <c r="H8" s="10">
        <v>0</v>
      </c>
      <c r="I8" s="10">
        <v>1</v>
      </c>
      <c r="J8" s="18">
        <v>0</v>
      </c>
      <c r="K8" s="18">
        <v>0</v>
      </c>
      <c r="N8" t="s">
        <v>0</v>
      </c>
      <c r="W8" s="15"/>
      <c r="X8" s="15"/>
      <c r="Y8" s="15"/>
      <c r="Z8" s="15"/>
      <c r="AA8" s="15"/>
    </row>
    <row r="9" spans="1:27" ht="15" thickBot="1" x14ac:dyDescent="0.35">
      <c r="A9" s="11" t="s">
        <v>46</v>
      </c>
      <c r="B9" s="11">
        <v>-64090.389736999998</v>
      </c>
      <c r="C9" s="11">
        <f t="shared" ref="C9:C13" si="1">B9-$B$3-3*$R$4</f>
        <v>-2.3451744999964674</v>
      </c>
      <c r="D9" s="11">
        <v>5.1658999997018284E-2</v>
      </c>
      <c r="E9" s="19">
        <v>0</v>
      </c>
      <c r="F9" s="11">
        <v>1</v>
      </c>
      <c r="G9" s="11">
        <v>1</v>
      </c>
      <c r="H9" s="11">
        <v>1</v>
      </c>
      <c r="I9" s="11">
        <v>0</v>
      </c>
      <c r="J9" s="19">
        <v>0</v>
      </c>
      <c r="K9" s="19">
        <v>0</v>
      </c>
      <c r="W9" s="15"/>
      <c r="X9" s="15"/>
      <c r="Y9" s="15"/>
      <c r="Z9" s="15"/>
      <c r="AA9" s="15"/>
    </row>
    <row r="10" spans="1:27" x14ac:dyDescent="0.3">
      <c r="A10" s="11" t="s">
        <v>49</v>
      </c>
      <c r="B10" s="11">
        <v>-64090.397914000001</v>
      </c>
      <c r="C10" s="11">
        <f t="shared" si="1"/>
        <v>-2.3533514999998104</v>
      </c>
      <c r="D10" s="11">
        <v>4.3481999993675302E-2</v>
      </c>
      <c r="E10" s="19">
        <v>0</v>
      </c>
      <c r="F10" s="11">
        <v>1</v>
      </c>
      <c r="G10" s="11">
        <v>0</v>
      </c>
      <c r="H10" s="11">
        <v>1</v>
      </c>
      <c r="I10" s="11">
        <v>0</v>
      </c>
      <c r="J10" s="19">
        <v>0</v>
      </c>
      <c r="K10" s="19">
        <v>0</v>
      </c>
      <c r="N10" s="5" t="s">
        <v>1</v>
      </c>
      <c r="O10" s="5"/>
      <c r="W10" s="15"/>
      <c r="X10" s="15"/>
      <c r="Y10" s="15"/>
      <c r="Z10" s="15"/>
      <c r="AA10" s="15"/>
    </row>
    <row r="11" spans="1:27" x14ac:dyDescent="0.3">
      <c r="A11" s="11" t="s">
        <v>50</v>
      </c>
      <c r="B11" s="11">
        <v>-64090.412712999998</v>
      </c>
      <c r="C11" s="11">
        <f t="shared" si="1"/>
        <v>-2.3681504999966663</v>
      </c>
      <c r="D11" s="11">
        <v>2.8682999996819447E-2</v>
      </c>
      <c r="E11" s="19">
        <v>0</v>
      </c>
      <c r="F11" s="11">
        <v>0</v>
      </c>
      <c r="G11" s="11">
        <v>0</v>
      </c>
      <c r="H11" s="11">
        <v>0</v>
      </c>
      <c r="I11" s="11">
        <v>2</v>
      </c>
      <c r="J11" s="19">
        <v>0</v>
      </c>
      <c r="K11" s="19">
        <v>0</v>
      </c>
      <c r="N11" s="2" t="s">
        <v>2</v>
      </c>
      <c r="O11" s="2">
        <v>0.99938535949172291</v>
      </c>
      <c r="W11" s="15"/>
      <c r="X11" s="15"/>
      <c r="Y11" s="15"/>
      <c r="Z11" s="15"/>
      <c r="AA11" s="15"/>
    </row>
    <row r="12" spans="1:27" x14ac:dyDescent="0.3">
      <c r="A12" s="11" t="s">
        <v>51</v>
      </c>
      <c r="B12" s="11">
        <v>-64090.372091999998</v>
      </c>
      <c r="C12" s="11">
        <f t="shared" si="1"/>
        <v>-2.3275294999965652</v>
      </c>
      <c r="D12" s="11">
        <v>6.9303999996920496E-2</v>
      </c>
      <c r="E12" s="19">
        <v>0</v>
      </c>
      <c r="F12" s="11">
        <v>2</v>
      </c>
      <c r="G12" s="11">
        <v>0</v>
      </c>
      <c r="H12" s="11">
        <v>0</v>
      </c>
      <c r="I12" s="11">
        <v>0</v>
      </c>
      <c r="J12" s="19">
        <v>1</v>
      </c>
      <c r="K12" s="19">
        <v>0</v>
      </c>
      <c r="N12" s="2" t="s">
        <v>3</v>
      </c>
      <c r="O12" s="2">
        <v>0.99877109676640019</v>
      </c>
      <c r="W12" s="15"/>
      <c r="X12" s="15"/>
      <c r="Y12" s="15"/>
      <c r="Z12" s="15"/>
      <c r="AA12" s="15"/>
    </row>
    <row r="13" spans="1:27" x14ac:dyDescent="0.3">
      <c r="A13" s="11" t="s">
        <v>52</v>
      </c>
      <c r="B13" s="11">
        <v>-64090.429834000002</v>
      </c>
      <c r="C13" s="11">
        <f t="shared" si="1"/>
        <v>-2.3852715000010747</v>
      </c>
      <c r="D13" s="11">
        <v>1.1561999992411032E-2</v>
      </c>
      <c r="E13" s="19">
        <v>0</v>
      </c>
      <c r="F13" s="11">
        <v>0</v>
      </c>
      <c r="G13" s="11">
        <v>0</v>
      </c>
      <c r="H13" s="11">
        <v>3</v>
      </c>
      <c r="I13" s="11">
        <v>0</v>
      </c>
      <c r="J13" s="19">
        <v>0</v>
      </c>
      <c r="K13" s="19">
        <v>0</v>
      </c>
      <c r="N13" s="2" t="s">
        <v>4</v>
      </c>
      <c r="O13" s="2">
        <v>0.96828186900373359</v>
      </c>
      <c r="W13" s="15"/>
      <c r="X13" s="15"/>
      <c r="Y13" s="15"/>
      <c r="Z13" s="15"/>
      <c r="AA13" s="15"/>
    </row>
    <row r="14" spans="1:27" x14ac:dyDescent="0.3">
      <c r="A14" s="11" t="s">
        <v>53</v>
      </c>
      <c r="B14" s="11">
        <v>-64106.964669000001</v>
      </c>
      <c r="C14" s="11">
        <f t="shared" ref="C14:C18" si="2">B14-$B$3-4*$R$4</f>
        <v>-3.1094459999996431</v>
      </c>
      <c r="D14" s="11">
        <v>8.6331999991671182E-2</v>
      </c>
      <c r="E14" s="19">
        <v>0</v>
      </c>
      <c r="F14" s="11">
        <v>2</v>
      </c>
      <c r="G14" s="11">
        <v>1</v>
      </c>
      <c r="H14" s="11">
        <v>2</v>
      </c>
      <c r="I14" s="11">
        <v>0</v>
      </c>
      <c r="J14" s="19">
        <v>0</v>
      </c>
      <c r="K14" s="19">
        <v>0</v>
      </c>
      <c r="N14" s="2" t="s">
        <v>5</v>
      </c>
      <c r="O14" s="2">
        <v>1.2896010085818702E-2</v>
      </c>
      <c r="W14" s="15"/>
      <c r="X14" s="15"/>
      <c r="Y14" s="15"/>
      <c r="Z14" s="15"/>
      <c r="AA14" s="15"/>
    </row>
    <row r="15" spans="1:27" ht="15" thickBot="1" x14ac:dyDescent="0.35">
      <c r="A15" s="11" t="s">
        <v>55</v>
      </c>
      <c r="B15" s="11">
        <v>-64106.969994999999</v>
      </c>
      <c r="C15" s="11">
        <f t="shared" si="2"/>
        <v>-3.1147719999982471</v>
      </c>
      <c r="D15" s="11">
        <v>8.1005999993067235E-2</v>
      </c>
      <c r="E15" s="19">
        <v>0</v>
      </c>
      <c r="F15" s="11">
        <v>2</v>
      </c>
      <c r="G15" s="11">
        <v>1</v>
      </c>
      <c r="H15" s="11">
        <v>2</v>
      </c>
      <c r="I15" s="11">
        <v>0</v>
      </c>
      <c r="J15" s="19">
        <v>1</v>
      </c>
      <c r="K15" s="19">
        <v>0</v>
      </c>
      <c r="N15" s="3" t="s">
        <v>6</v>
      </c>
      <c r="O15" s="3">
        <v>39</v>
      </c>
      <c r="W15" s="15"/>
      <c r="X15" s="15"/>
      <c r="Y15" s="15"/>
      <c r="Z15" s="15"/>
      <c r="AA15" s="15"/>
    </row>
    <row r="16" spans="1:27" x14ac:dyDescent="0.3">
      <c r="A16" s="11" t="s">
        <v>57</v>
      </c>
      <c r="B16" s="11">
        <v>-64106.968430000001</v>
      </c>
      <c r="C16" s="11">
        <f t="shared" si="2"/>
        <v>-3.1132069999995835</v>
      </c>
      <c r="D16" s="11">
        <v>8.2570999991730787E-2</v>
      </c>
      <c r="E16" s="19">
        <v>0</v>
      </c>
      <c r="F16" s="11">
        <v>2</v>
      </c>
      <c r="G16" s="11">
        <v>1</v>
      </c>
      <c r="H16" s="11">
        <v>1</v>
      </c>
      <c r="I16" s="11">
        <v>0</v>
      </c>
      <c r="J16" s="19">
        <v>1</v>
      </c>
      <c r="K16" s="19">
        <v>0</v>
      </c>
      <c r="W16" s="15"/>
      <c r="X16" s="15"/>
      <c r="Y16" s="15"/>
      <c r="Z16" s="15"/>
      <c r="AA16" s="15"/>
    </row>
    <row r="17" spans="1:27" ht="15" thickBot="1" x14ac:dyDescent="0.35">
      <c r="A17" s="11" t="s">
        <v>59</v>
      </c>
      <c r="B17" s="11">
        <v>-64106.993028999997</v>
      </c>
      <c r="C17" s="11">
        <f t="shared" si="2"/>
        <v>-3.1378059999962531</v>
      </c>
      <c r="D17" s="11">
        <v>5.7971999995061196E-2</v>
      </c>
      <c r="E17" s="19">
        <v>0</v>
      </c>
      <c r="F17" s="11">
        <v>1</v>
      </c>
      <c r="G17" s="11">
        <v>1</v>
      </c>
      <c r="H17" s="11">
        <v>3</v>
      </c>
      <c r="I17" s="11">
        <v>0</v>
      </c>
      <c r="J17" s="19">
        <v>0</v>
      </c>
      <c r="K17" s="19">
        <v>0</v>
      </c>
      <c r="N17" t="s">
        <v>7</v>
      </c>
      <c r="W17" s="15"/>
      <c r="X17" s="15"/>
      <c r="Y17" s="15"/>
      <c r="Z17" s="15"/>
      <c r="AA17" s="15"/>
    </row>
    <row r="18" spans="1:27" x14ac:dyDescent="0.3">
      <c r="A18" s="11" t="s">
        <v>62</v>
      </c>
      <c r="B18" s="11">
        <v>-64106.996972000001</v>
      </c>
      <c r="C18" s="11">
        <f t="shared" si="2"/>
        <v>-3.1417489999995993</v>
      </c>
      <c r="D18" s="11">
        <v>5.4028999991714954E-2</v>
      </c>
      <c r="E18" s="19">
        <v>0</v>
      </c>
      <c r="F18" s="11">
        <v>0</v>
      </c>
      <c r="G18" s="11">
        <v>1</v>
      </c>
      <c r="H18" s="11">
        <v>1</v>
      </c>
      <c r="I18" s="11">
        <v>3</v>
      </c>
      <c r="J18" s="19">
        <v>0</v>
      </c>
      <c r="K18" s="19">
        <v>0</v>
      </c>
      <c r="N18" s="4"/>
      <c r="O18" s="4" t="s">
        <v>12</v>
      </c>
      <c r="P18" s="4" t="s">
        <v>13</v>
      </c>
      <c r="Q18" s="4" t="s">
        <v>14</v>
      </c>
      <c r="R18" s="4" t="s">
        <v>15</v>
      </c>
      <c r="S18" s="4" t="s">
        <v>16</v>
      </c>
      <c r="W18" s="15"/>
      <c r="X18" s="15"/>
      <c r="Y18" s="15"/>
      <c r="Z18" s="15"/>
      <c r="AA18" s="15"/>
    </row>
    <row r="19" spans="1:27" x14ac:dyDescent="0.3">
      <c r="A19" s="11" t="s">
        <v>63</v>
      </c>
      <c r="B19" s="11">
        <v>-64123.595280000001</v>
      </c>
      <c r="C19" s="11">
        <f t="shared" ref="C19:C22" si="3">B19-$B$3-5*$R$4</f>
        <v>-3.9293965000001378</v>
      </c>
      <c r="D19" s="11">
        <v>6.5325999989005012E-2</v>
      </c>
      <c r="E19" s="19">
        <v>0</v>
      </c>
      <c r="F19" s="11">
        <v>0</v>
      </c>
      <c r="G19" s="11">
        <v>0</v>
      </c>
      <c r="H19" s="11">
        <v>6</v>
      </c>
      <c r="I19" s="11">
        <v>0</v>
      </c>
      <c r="J19" s="19">
        <v>2</v>
      </c>
      <c r="K19" s="19">
        <v>2</v>
      </c>
      <c r="N19" s="2" t="s">
        <v>8</v>
      </c>
      <c r="O19" s="2">
        <v>6</v>
      </c>
      <c r="P19" s="2">
        <v>4.4603911663009912</v>
      </c>
      <c r="Q19" s="2">
        <v>0.7433985277168319</v>
      </c>
      <c r="R19" s="2">
        <v>4470.0354609079504</v>
      </c>
      <c r="S19" s="2">
        <v>2.5260098982587629E-45</v>
      </c>
      <c r="W19" s="2"/>
      <c r="X19" s="15"/>
      <c r="Y19" s="15"/>
      <c r="Z19" s="15"/>
      <c r="AA19" s="15"/>
    </row>
    <row r="20" spans="1:27" x14ac:dyDescent="0.3">
      <c r="A20" s="11" t="s">
        <v>64</v>
      </c>
      <c r="B20" s="11">
        <v>-64123.548547999999</v>
      </c>
      <c r="C20" s="11">
        <f t="shared" si="3"/>
        <v>-3.8826644999976168</v>
      </c>
      <c r="D20" s="11">
        <v>0.1120579999915261</v>
      </c>
      <c r="E20" s="19">
        <v>0</v>
      </c>
      <c r="F20" s="11">
        <v>2</v>
      </c>
      <c r="G20" s="11">
        <v>2</v>
      </c>
      <c r="H20" s="11">
        <v>4</v>
      </c>
      <c r="I20" s="11">
        <v>0</v>
      </c>
      <c r="J20" s="19">
        <v>0</v>
      </c>
      <c r="K20" s="19">
        <v>0</v>
      </c>
      <c r="N20" s="2" t="s">
        <v>9</v>
      </c>
      <c r="O20" s="2">
        <v>33</v>
      </c>
      <c r="P20" s="2">
        <v>5.4881335124067447E-3</v>
      </c>
      <c r="Q20" s="2">
        <v>1.6630707613353771E-4</v>
      </c>
      <c r="R20" s="2"/>
      <c r="S20" s="2"/>
      <c r="W20" s="2"/>
      <c r="X20" s="15"/>
      <c r="Y20" s="15"/>
      <c r="Z20" s="15"/>
      <c r="AA20" s="15"/>
    </row>
    <row r="21" spans="1:27" ht="15" thickBot="1" x14ac:dyDescent="0.35">
      <c r="A21" s="11" t="s">
        <v>69</v>
      </c>
      <c r="B21" s="11">
        <v>-64123.533239999997</v>
      </c>
      <c r="C21" s="11">
        <f t="shared" si="3"/>
        <v>-3.8673564999957932</v>
      </c>
      <c r="D21" s="11">
        <v>0.12736599999334963</v>
      </c>
      <c r="E21" s="19">
        <v>0</v>
      </c>
      <c r="F21" s="11">
        <v>3</v>
      </c>
      <c r="G21" s="11">
        <v>2</v>
      </c>
      <c r="H21" s="11">
        <v>3</v>
      </c>
      <c r="I21" s="11">
        <v>0</v>
      </c>
      <c r="J21" s="19">
        <v>1</v>
      </c>
      <c r="K21" s="19">
        <v>0</v>
      </c>
      <c r="N21" s="3" t="s">
        <v>10</v>
      </c>
      <c r="O21" s="3">
        <v>39</v>
      </c>
      <c r="P21" s="3">
        <v>4.4658792998133983</v>
      </c>
      <c r="Q21" s="3"/>
      <c r="R21" s="3"/>
      <c r="S21" s="3"/>
      <c r="W21" s="2"/>
      <c r="X21" s="15"/>
      <c r="Y21" s="15"/>
      <c r="Z21" s="15"/>
      <c r="AA21" s="15"/>
    </row>
    <row r="22" spans="1:27" ht="15" thickBot="1" x14ac:dyDescent="0.35">
      <c r="A22" s="11" t="s">
        <v>70</v>
      </c>
      <c r="B22" s="11">
        <v>-64123.557480000003</v>
      </c>
      <c r="C22" s="11">
        <f t="shared" si="3"/>
        <v>-3.8915965000018957</v>
      </c>
      <c r="D22" s="11">
        <v>0.10312599998724714</v>
      </c>
      <c r="E22" s="19">
        <v>0</v>
      </c>
      <c r="F22" s="11">
        <v>2</v>
      </c>
      <c r="G22" s="11">
        <v>1</v>
      </c>
      <c r="H22" s="11">
        <v>4</v>
      </c>
      <c r="I22" s="11">
        <v>0</v>
      </c>
      <c r="J22" s="19">
        <v>1</v>
      </c>
      <c r="K22" s="19">
        <v>1</v>
      </c>
      <c r="W22" s="2"/>
      <c r="X22" s="15"/>
      <c r="Y22" s="15"/>
      <c r="Z22" s="15"/>
      <c r="AA22" s="15"/>
    </row>
    <row r="23" spans="1:27" x14ac:dyDescent="0.3">
      <c r="A23" s="11" t="s">
        <v>71</v>
      </c>
      <c r="B23" s="11">
        <v>-64140.104765999997</v>
      </c>
      <c r="C23" s="11">
        <f>B23-$B$3-6*$R$4</f>
        <v>-4.6282219999955174</v>
      </c>
      <c r="D23" s="11">
        <v>0.16544499999145401</v>
      </c>
      <c r="E23" s="19">
        <v>0</v>
      </c>
      <c r="F23" s="11">
        <v>6</v>
      </c>
      <c r="G23" s="11">
        <v>0</v>
      </c>
      <c r="H23" s="11">
        <v>0</v>
      </c>
      <c r="I23" s="11">
        <v>0</v>
      </c>
      <c r="J23" s="19">
        <v>6</v>
      </c>
      <c r="K23" s="19">
        <v>0</v>
      </c>
      <c r="N23" s="4"/>
      <c r="O23" s="4" t="s">
        <v>17</v>
      </c>
      <c r="P23" s="4" t="s">
        <v>5</v>
      </c>
      <c r="Q23" s="4" t="s">
        <v>18</v>
      </c>
      <c r="R23" s="4" t="s">
        <v>19</v>
      </c>
      <c r="S23" s="4" t="s">
        <v>20</v>
      </c>
      <c r="T23" s="4" t="s">
        <v>21</v>
      </c>
      <c r="U23" s="4" t="s">
        <v>22</v>
      </c>
      <c r="V23" s="4" t="s">
        <v>23</v>
      </c>
      <c r="W23" s="15"/>
      <c r="X23" s="15"/>
      <c r="Y23" s="15"/>
      <c r="Z23" s="15"/>
      <c r="AA23" s="15"/>
    </row>
    <row r="24" spans="1:27" x14ac:dyDescent="0.3">
      <c r="A24" s="11" t="s">
        <v>72</v>
      </c>
      <c r="B24" s="11">
        <v>-64140.140529999997</v>
      </c>
      <c r="C24" s="11">
        <f>B24-$B$3-6*$R$4</f>
        <v>-4.6639859999957167</v>
      </c>
      <c r="D24" s="11">
        <v>0.12968099999125471</v>
      </c>
      <c r="E24" s="19">
        <v>0</v>
      </c>
      <c r="F24" s="11">
        <v>1</v>
      </c>
      <c r="G24" s="11">
        <v>2</v>
      </c>
      <c r="H24" s="11">
        <v>6</v>
      </c>
      <c r="I24" s="11">
        <v>0</v>
      </c>
      <c r="J24" s="19">
        <v>2</v>
      </c>
      <c r="K24" s="19">
        <v>2</v>
      </c>
      <c r="N24" s="2" t="s">
        <v>11</v>
      </c>
      <c r="O24" s="2">
        <v>0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15"/>
      <c r="X24" s="15"/>
      <c r="Y24" s="15"/>
      <c r="Z24" s="15"/>
      <c r="AA24" s="15"/>
    </row>
    <row r="25" spans="1:27" x14ac:dyDescent="0.3">
      <c r="A25" s="11" t="s">
        <v>73</v>
      </c>
      <c r="B25" s="11">
        <v>-64140.175926000004</v>
      </c>
      <c r="C25" s="11">
        <f>B25-$B$3-6*$R$4</f>
        <v>-4.6993820000023021</v>
      </c>
      <c r="D25" s="11">
        <v>9.4284999984669327E-2</v>
      </c>
      <c r="E25" s="19">
        <v>0</v>
      </c>
      <c r="F25" s="11">
        <v>0</v>
      </c>
      <c r="G25" s="11">
        <v>0</v>
      </c>
      <c r="H25" s="11">
        <v>9</v>
      </c>
      <c r="I25" s="11">
        <v>0</v>
      </c>
      <c r="J25" s="19">
        <v>3</v>
      </c>
      <c r="K25" s="19">
        <v>3</v>
      </c>
      <c r="N25" s="2" t="s">
        <v>24</v>
      </c>
      <c r="O25" s="2">
        <v>2.4408265493305568E-2</v>
      </c>
      <c r="P25" s="2">
        <v>3.62876168944041E-3</v>
      </c>
      <c r="Q25" s="2">
        <v>6.7263346513861473</v>
      </c>
      <c r="R25" s="2">
        <v>1.1568323351597542E-7</v>
      </c>
      <c r="S25" s="2">
        <v>1.7025494325340944E-2</v>
      </c>
      <c r="T25" s="2">
        <v>3.1791036661270193E-2</v>
      </c>
      <c r="U25" s="2">
        <v>1.7025494325340944E-2</v>
      </c>
      <c r="V25" s="2">
        <v>3.1791036661270193E-2</v>
      </c>
      <c r="W25" s="15"/>
      <c r="X25" s="15"/>
      <c r="Y25" s="15"/>
      <c r="Z25" s="15"/>
      <c r="AA25" s="15"/>
    </row>
    <row r="26" spans="1:27" x14ac:dyDescent="0.3">
      <c r="A26" s="11" t="s">
        <v>74</v>
      </c>
      <c r="B26" s="11">
        <v>-64140.092383000003</v>
      </c>
      <c r="C26" s="11">
        <f>B26-$B$3-6*$R$4</f>
        <v>-4.6158390000016567</v>
      </c>
      <c r="D26" s="11">
        <v>0.17782799998531473</v>
      </c>
      <c r="E26" s="19">
        <v>0</v>
      </c>
      <c r="F26" s="11">
        <v>3</v>
      </c>
      <c r="G26" s="11">
        <v>3</v>
      </c>
      <c r="H26" s="11">
        <v>6</v>
      </c>
      <c r="I26" s="11">
        <v>0</v>
      </c>
      <c r="J26" s="19">
        <v>0</v>
      </c>
      <c r="K26" s="19">
        <v>0</v>
      </c>
      <c r="N26" s="2" t="s">
        <v>25</v>
      </c>
      <c r="O26" s="2">
        <v>1.2332252621169109E-2</v>
      </c>
      <c r="P26" s="2">
        <v>4.1517089386064821E-3</v>
      </c>
      <c r="Q26" s="2">
        <v>2.9704039477556488</v>
      </c>
      <c r="R26" s="2">
        <v>5.5098800514934015E-3</v>
      </c>
      <c r="S26" s="2">
        <v>3.8855372750170609E-3</v>
      </c>
      <c r="T26" s="2">
        <v>2.0778967967321156E-2</v>
      </c>
      <c r="U26" s="2">
        <v>3.8855372750170609E-3</v>
      </c>
      <c r="V26" s="2">
        <v>2.0778967967321156E-2</v>
      </c>
      <c r="W26" s="15"/>
      <c r="X26" s="15"/>
      <c r="Y26" s="15"/>
      <c r="Z26" s="15"/>
      <c r="AA26" s="15"/>
    </row>
    <row r="27" spans="1:27" x14ac:dyDescent="0.3">
      <c r="A27" s="11" t="s">
        <v>75</v>
      </c>
      <c r="B27" s="11">
        <v>-64140.100874000003</v>
      </c>
      <c r="C27" s="11">
        <f>B27-$B$3-6*$R$4</f>
        <v>-4.6243300000021605</v>
      </c>
      <c r="D27" s="11">
        <v>0.16933699998481089</v>
      </c>
      <c r="E27" s="19">
        <v>0</v>
      </c>
      <c r="F27" s="11">
        <v>3</v>
      </c>
      <c r="G27" s="11">
        <v>3</v>
      </c>
      <c r="H27" s="11">
        <v>5</v>
      </c>
      <c r="I27" s="11">
        <v>0</v>
      </c>
      <c r="J27" s="19">
        <v>1</v>
      </c>
      <c r="K27" s="19">
        <v>1</v>
      </c>
      <c r="N27" s="2" t="s">
        <v>26</v>
      </c>
      <c r="O27" s="2">
        <v>1.3498748868220023E-2</v>
      </c>
      <c r="P27" s="2">
        <v>1.2293395084227994E-3</v>
      </c>
      <c r="Q27" s="2">
        <v>10.980488933881624</v>
      </c>
      <c r="R27" s="2">
        <v>1.4789793735043992E-12</v>
      </c>
      <c r="S27" s="2">
        <v>1.0997638832574987E-2</v>
      </c>
      <c r="T27" s="2">
        <v>1.5999858903865061E-2</v>
      </c>
      <c r="U27" s="2">
        <v>1.0997638832574987E-2</v>
      </c>
      <c r="V27" s="2">
        <v>1.5999858903865061E-2</v>
      </c>
      <c r="W27" s="15"/>
      <c r="X27" s="15"/>
      <c r="Y27" s="15"/>
      <c r="Z27" s="15"/>
      <c r="AA27" s="15"/>
    </row>
    <row r="28" spans="1:27" x14ac:dyDescent="0.3">
      <c r="A28" s="11" t="s">
        <v>76</v>
      </c>
      <c r="B28" s="11">
        <v>-64156.680456000002</v>
      </c>
      <c r="C28" s="11">
        <f>B28-$B$3-7*$R$4</f>
        <v>-5.3932515000006447</v>
      </c>
      <c r="D28" s="11">
        <v>0.19935999998415532</v>
      </c>
      <c r="E28" s="19">
        <v>0</v>
      </c>
      <c r="F28" s="11">
        <v>6</v>
      </c>
      <c r="G28" s="11">
        <v>1</v>
      </c>
      <c r="H28" s="11">
        <v>2</v>
      </c>
      <c r="I28" s="11">
        <v>0</v>
      </c>
      <c r="J28" s="19">
        <v>6</v>
      </c>
      <c r="K28" s="19">
        <v>1</v>
      </c>
      <c r="N28" s="2" t="s">
        <v>27</v>
      </c>
      <c r="O28" s="2">
        <v>1.0923499678285766E-2</v>
      </c>
      <c r="P28" s="2">
        <v>3.5488273992631907E-3</v>
      </c>
      <c r="Q28" s="2">
        <v>3.078058876730299</v>
      </c>
      <c r="R28" s="2">
        <v>4.1741491122816747E-3</v>
      </c>
      <c r="S28" s="2">
        <v>3.7033560464774492E-3</v>
      </c>
      <c r="T28" s="2">
        <v>1.8143643310094083E-2</v>
      </c>
      <c r="U28" s="2">
        <v>3.7033560464774492E-3</v>
      </c>
      <c r="V28" s="2">
        <v>1.8143643310094083E-2</v>
      </c>
      <c r="W28" s="15"/>
      <c r="X28" s="15"/>
      <c r="Y28" s="15"/>
      <c r="Z28" s="15"/>
      <c r="AA28" s="15"/>
    </row>
    <row r="29" spans="1:27" x14ac:dyDescent="0.3">
      <c r="A29" s="11" t="s">
        <v>77</v>
      </c>
      <c r="B29" s="11">
        <v>-64156.692351999998</v>
      </c>
      <c r="C29" s="11">
        <f>B29-$B$3-7*$R$4</f>
        <v>-5.4051474999969855</v>
      </c>
      <c r="D29" s="11">
        <v>0.18746399998781449</v>
      </c>
      <c r="E29" s="19">
        <v>0</v>
      </c>
      <c r="F29" s="11">
        <v>2</v>
      </c>
      <c r="G29" s="11">
        <v>3</v>
      </c>
      <c r="H29" s="11">
        <v>7</v>
      </c>
      <c r="I29" s="11">
        <v>0</v>
      </c>
      <c r="J29" s="19">
        <v>2</v>
      </c>
      <c r="K29" s="19">
        <v>2</v>
      </c>
      <c r="N29" s="21" t="s">
        <v>28</v>
      </c>
      <c r="O29" s="21">
        <v>3.8986291662596404E-3</v>
      </c>
      <c r="P29" s="21">
        <v>3.9516120558540004E-3</v>
      </c>
      <c r="Q29" s="21">
        <v>0.9865920822070906</v>
      </c>
      <c r="R29" s="20">
        <v>0.33102155083825124</v>
      </c>
      <c r="S29" s="21">
        <v>-4.1409860109605581E-3</v>
      </c>
      <c r="T29" s="21">
        <v>1.1938244343479839E-2</v>
      </c>
      <c r="U29" s="21">
        <v>-4.1409860109605581E-3</v>
      </c>
      <c r="V29" s="21">
        <v>1.1938244343479839E-2</v>
      </c>
      <c r="W29" s="15"/>
      <c r="X29" s="15"/>
      <c r="Y29" s="15"/>
      <c r="Z29" s="15"/>
      <c r="AA29" s="15"/>
    </row>
    <row r="30" spans="1:27" ht="15" thickBot="1" x14ac:dyDescent="0.35">
      <c r="A30" s="11" t="s">
        <v>78</v>
      </c>
      <c r="B30" s="11">
        <v>-64156.644838</v>
      </c>
      <c r="C30" s="11">
        <f>B30-$B$3-7*$R$4</f>
        <v>-5.3576334999989399</v>
      </c>
      <c r="D30" s="11">
        <v>0.23497799998586011</v>
      </c>
      <c r="E30" s="19">
        <v>0</v>
      </c>
      <c r="F30" s="11">
        <v>4</v>
      </c>
      <c r="G30" s="11">
        <v>4</v>
      </c>
      <c r="H30" s="11">
        <v>7</v>
      </c>
      <c r="I30" s="11">
        <v>0</v>
      </c>
      <c r="J30" s="19">
        <v>1</v>
      </c>
      <c r="K30" s="19">
        <v>1</v>
      </c>
      <c r="N30" s="3" t="s">
        <v>29</v>
      </c>
      <c r="O30" s="3">
        <v>-1.4594367688600146E-2</v>
      </c>
      <c r="P30" s="3">
        <v>4.3831309523454411E-3</v>
      </c>
      <c r="Q30" s="3">
        <v>-3.3296672737533903</v>
      </c>
      <c r="R30" s="3">
        <v>2.1483810192463129E-3</v>
      </c>
      <c r="S30" s="3">
        <v>-2.3511914661870637E-2</v>
      </c>
      <c r="T30" s="3">
        <v>-5.676820715329654E-3</v>
      </c>
      <c r="U30" s="3">
        <v>-2.3511914661870637E-2</v>
      </c>
      <c r="V30" s="3">
        <v>-5.676820715329654E-3</v>
      </c>
      <c r="W30" s="15"/>
      <c r="X30" s="15"/>
      <c r="Y30" s="15"/>
      <c r="Z30" s="15"/>
      <c r="AA30" s="15"/>
    </row>
    <row r="31" spans="1:27" x14ac:dyDescent="0.3">
      <c r="A31" s="11" t="s">
        <v>79</v>
      </c>
      <c r="B31" s="11">
        <v>-64173.216370000002</v>
      </c>
      <c r="C31" s="11">
        <f>B31-$B$3-8*$R$4</f>
        <v>-6.1185050000006953</v>
      </c>
      <c r="D31" s="11">
        <v>0.27305099998193327</v>
      </c>
      <c r="E31" s="19">
        <v>0</v>
      </c>
      <c r="F31" s="11">
        <v>5</v>
      </c>
      <c r="G31" s="11">
        <v>4</v>
      </c>
      <c r="H31" s="11">
        <v>8</v>
      </c>
      <c r="I31" s="11">
        <v>0</v>
      </c>
      <c r="J31" s="19">
        <v>2</v>
      </c>
      <c r="K31" s="19">
        <v>2</v>
      </c>
      <c r="W31" s="15"/>
      <c r="X31" s="15"/>
      <c r="Y31" s="15"/>
      <c r="Z31" s="15"/>
      <c r="AA31" s="15"/>
    </row>
    <row r="32" spans="1:27" x14ac:dyDescent="0.3">
      <c r="A32" s="11" t="s">
        <v>80</v>
      </c>
      <c r="B32" s="11">
        <v>-64189.759487000003</v>
      </c>
      <c r="C32" s="11">
        <f>B32-$B$3-9*$R$4</f>
        <v>-6.8509615000017732</v>
      </c>
      <c r="D32" s="11">
        <v>0.33953899997868398</v>
      </c>
      <c r="E32" s="19">
        <v>0</v>
      </c>
      <c r="F32" s="11">
        <v>6</v>
      </c>
      <c r="G32" s="11">
        <v>6</v>
      </c>
      <c r="H32" s="11">
        <v>10</v>
      </c>
      <c r="I32" s="11">
        <v>0</v>
      </c>
      <c r="J32" s="19">
        <v>3</v>
      </c>
      <c r="K32" s="19">
        <v>3</v>
      </c>
      <c r="W32" s="15"/>
      <c r="X32" s="15"/>
      <c r="Y32" s="15"/>
      <c r="Z32" s="15"/>
      <c r="AA32" s="15"/>
    </row>
    <row r="33" spans="1:27" x14ac:dyDescent="0.3">
      <c r="A33" s="11" t="s">
        <v>81</v>
      </c>
      <c r="B33" s="11">
        <v>-64206.330829999999</v>
      </c>
      <c r="C33" s="11">
        <f>B33-$B$3-10*$R$4</f>
        <v>-7.6116439999977388</v>
      </c>
      <c r="D33" s="11">
        <v>0.37780099998054695</v>
      </c>
      <c r="E33" s="19">
        <v>0</v>
      </c>
      <c r="F33" s="11">
        <v>7</v>
      </c>
      <c r="G33" s="11">
        <v>6</v>
      </c>
      <c r="H33" s="11">
        <v>12</v>
      </c>
      <c r="I33" s="11">
        <v>0</v>
      </c>
      <c r="J33" s="19">
        <v>4</v>
      </c>
      <c r="K33" s="19">
        <v>4</v>
      </c>
      <c r="W33" s="15"/>
      <c r="X33" s="15"/>
      <c r="Y33" s="15"/>
      <c r="Z33" s="15"/>
      <c r="AA33" s="15"/>
    </row>
    <row r="34" spans="1:27" x14ac:dyDescent="0.3">
      <c r="A34" s="11" t="s">
        <v>82</v>
      </c>
      <c r="B34" s="11">
        <v>-64222.867629</v>
      </c>
      <c r="C34" s="11">
        <f>B34-$B$3-11*$R$4</f>
        <v>-8.3377824999990935</v>
      </c>
      <c r="D34" s="11">
        <v>0.45060699997702081</v>
      </c>
      <c r="E34" s="19">
        <v>0</v>
      </c>
      <c r="F34" s="11">
        <v>8</v>
      </c>
      <c r="G34" s="11">
        <v>8</v>
      </c>
      <c r="H34" s="11">
        <v>15</v>
      </c>
      <c r="I34" s="11">
        <v>0</v>
      </c>
      <c r="J34" s="19">
        <v>5</v>
      </c>
      <c r="K34" s="19">
        <v>5</v>
      </c>
      <c r="N34" t="s">
        <v>0</v>
      </c>
      <c r="W34" s="15"/>
      <c r="X34" s="15"/>
      <c r="Y34" s="15"/>
      <c r="Z34" s="15"/>
      <c r="AA34" s="15"/>
    </row>
    <row r="35" spans="1:27" ht="15" thickBot="1" x14ac:dyDescent="0.35">
      <c r="A35" s="11" t="s">
        <v>83</v>
      </c>
      <c r="B35" s="11">
        <v>-64239.428451</v>
      </c>
      <c r="C35" s="11">
        <f>B35-$B$3-12*$R$4</f>
        <v>-9.0879439999985436</v>
      </c>
      <c r="D35" s="11">
        <v>0.49938999997539923</v>
      </c>
      <c r="E35" s="19">
        <v>0</v>
      </c>
      <c r="F35" s="11">
        <v>9</v>
      </c>
      <c r="G35" s="11">
        <v>9</v>
      </c>
      <c r="H35" s="11">
        <v>18</v>
      </c>
      <c r="I35" s="11">
        <v>0</v>
      </c>
      <c r="J35" s="19">
        <v>6</v>
      </c>
      <c r="K35" s="19">
        <v>6</v>
      </c>
      <c r="W35" s="15"/>
      <c r="X35" s="15"/>
      <c r="Y35" s="15"/>
      <c r="Z35" s="15"/>
      <c r="AA35" s="15"/>
    </row>
    <row r="36" spans="1:27" x14ac:dyDescent="0.3">
      <c r="A36" s="11" t="s">
        <v>84</v>
      </c>
      <c r="B36" s="11">
        <v>-64255.982251000001</v>
      </c>
      <c r="C36" s="11">
        <f>B36-$B$3-13*$R$4</f>
        <v>-9.8310835000000623</v>
      </c>
      <c r="D36" s="11">
        <v>0.55519499997170918</v>
      </c>
      <c r="E36" s="19">
        <v>0</v>
      </c>
      <c r="F36" s="11">
        <v>10</v>
      </c>
      <c r="G36" s="11">
        <v>10</v>
      </c>
      <c r="H36" s="11">
        <v>20</v>
      </c>
      <c r="I36" s="11">
        <v>0</v>
      </c>
      <c r="J36" s="19">
        <v>8</v>
      </c>
      <c r="K36" s="19">
        <v>8</v>
      </c>
      <c r="N36" s="5" t="s">
        <v>1</v>
      </c>
      <c r="O36" s="5"/>
      <c r="W36" s="15"/>
      <c r="X36" s="15"/>
      <c r="Y36" s="15"/>
      <c r="Z36" s="15"/>
      <c r="AA36" s="15"/>
    </row>
    <row r="37" spans="1:27" x14ac:dyDescent="0.3">
      <c r="A37" s="11" t="s">
        <v>85</v>
      </c>
      <c r="B37" s="11">
        <v>-64272.532045</v>
      </c>
      <c r="C37" s="11">
        <f>B37-$B$3-14*$R$4</f>
        <v>-10.570216999998706</v>
      </c>
      <c r="D37" s="11">
        <v>0.61500599997089367</v>
      </c>
      <c r="E37" s="19">
        <v>0</v>
      </c>
      <c r="F37" s="11">
        <v>12</v>
      </c>
      <c r="G37" s="11">
        <v>11</v>
      </c>
      <c r="H37" s="11">
        <v>22</v>
      </c>
      <c r="I37" s="11">
        <v>0</v>
      </c>
      <c r="J37" s="19">
        <v>10</v>
      </c>
      <c r="K37" s="19">
        <v>10</v>
      </c>
      <c r="N37" s="2" t="s">
        <v>2</v>
      </c>
      <c r="O37" s="2">
        <v>0.99872297836946167</v>
      </c>
      <c r="W37" s="15"/>
      <c r="X37" s="15"/>
      <c r="Y37" s="15"/>
      <c r="Z37" s="15"/>
      <c r="AA37" s="15"/>
    </row>
    <row r="38" spans="1:27" x14ac:dyDescent="0.3">
      <c r="A38" s="11" t="s">
        <v>86</v>
      </c>
      <c r="B38" s="11">
        <v>-64289.054872000001</v>
      </c>
      <c r="C38" s="11">
        <f>B38-$B$3-15*$R$4</f>
        <v>-11.282383499999412</v>
      </c>
      <c r="D38" s="11">
        <v>0.70178399996801666</v>
      </c>
      <c r="E38" s="19">
        <v>0</v>
      </c>
      <c r="F38" s="11">
        <v>13</v>
      </c>
      <c r="G38" s="11">
        <v>13</v>
      </c>
      <c r="H38" s="11">
        <v>25</v>
      </c>
      <c r="I38" s="11">
        <v>0</v>
      </c>
      <c r="J38" s="19">
        <v>12</v>
      </c>
      <c r="K38" s="19">
        <v>12</v>
      </c>
      <c r="N38" s="2" t="s">
        <v>3</v>
      </c>
      <c r="O38" s="2">
        <v>0.99744758752316809</v>
      </c>
      <c r="W38" s="16"/>
      <c r="X38" s="15"/>
      <c r="Y38" s="15"/>
      <c r="Z38" s="15"/>
      <c r="AA38" s="15"/>
    </row>
    <row r="39" spans="1:27" x14ac:dyDescent="0.3">
      <c r="A39" s="11" t="s">
        <v>87</v>
      </c>
      <c r="B39" s="11">
        <v>-64305.607302999997</v>
      </c>
      <c r="C39" s="11">
        <f>B39-$B$3-16*$R$4</f>
        <v>-12.024153999995832</v>
      </c>
      <c r="D39" s="11">
        <v>0.75895799996942515</v>
      </c>
      <c r="E39" s="19">
        <v>0</v>
      </c>
      <c r="F39" s="11">
        <v>15</v>
      </c>
      <c r="G39" s="11">
        <v>14</v>
      </c>
      <c r="H39" s="11">
        <v>28</v>
      </c>
      <c r="I39" s="11">
        <v>0</v>
      </c>
      <c r="J39" s="19">
        <v>14</v>
      </c>
      <c r="K39" s="19">
        <v>14</v>
      </c>
      <c r="N39" s="2" t="s">
        <v>4</v>
      </c>
      <c r="O39" s="2">
        <v>0.96865738073943963</v>
      </c>
      <c r="W39" s="2"/>
      <c r="X39" s="15"/>
      <c r="Y39" s="15"/>
      <c r="Z39" s="15"/>
      <c r="AA39" s="15"/>
    </row>
    <row r="40" spans="1:27" x14ac:dyDescent="0.3">
      <c r="A40" s="11" t="s">
        <v>88</v>
      </c>
      <c r="B40" s="11">
        <v>-64322.127703999999</v>
      </c>
      <c r="C40" s="11">
        <f>B40-$B$3-17*$R$4</f>
        <v>-12.733894499997405</v>
      </c>
      <c r="D40" s="11">
        <v>0.84816199996568109</v>
      </c>
      <c r="E40" s="19">
        <v>0</v>
      </c>
      <c r="F40" s="11">
        <v>16</v>
      </c>
      <c r="G40" s="11">
        <v>16</v>
      </c>
      <c r="H40" s="11">
        <v>32</v>
      </c>
      <c r="I40" s="11">
        <v>0</v>
      </c>
      <c r="J40" s="19">
        <v>16</v>
      </c>
      <c r="K40" s="19">
        <v>16</v>
      </c>
      <c r="N40" s="2" t="s">
        <v>5</v>
      </c>
      <c r="O40" s="2">
        <v>1.8046579450228351E-2</v>
      </c>
      <c r="W40" s="2"/>
      <c r="X40" s="15"/>
      <c r="Y40" s="15"/>
      <c r="Z40" s="15"/>
      <c r="AA40" s="15"/>
    </row>
    <row r="41" spans="1:27" ht="15" thickBot="1" x14ac:dyDescent="0.35">
      <c r="A41" s="11" t="s">
        <v>89</v>
      </c>
      <c r="B41" s="11">
        <v>-64338.647261999999</v>
      </c>
      <c r="C41" s="11">
        <f>B41-$B$3-18*$R$4</f>
        <v>-13.442791999997382</v>
      </c>
      <c r="D41" s="11">
        <v>0.93820899996353191</v>
      </c>
      <c r="E41" s="19">
        <v>0</v>
      </c>
      <c r="F41" s="11">
        <v>18</v>
      </c>
      <c r="G41" s="11">
        <v>18</v>
      </c>
      <c r="H41" s="11">
        <v>36</v>
      </c>
      <c r="I41" s="11">
        <v>0</v>
      </c>
      <c r="J41" s="19">
        <v>18</v>
      </c>
      <c r="K41" s="19">
        <v>18</v>
      </c>
      <c r="N41" s="3" t="s">
        <v>6</v>
      </c>
      <c r="O41" s="3">
        <v>39</v>
      </c>
      <c r="W41" s="2"/>
      <c r="X41" s="15"/>
      <c r="Y41" s="15"/>
      <c r="Z41" s="15"/>
      <c r="AA41" s="15"/>
    </row>
    <row r="42" spans="1:27" ht="15.6" x14ac:dyDescent="0.3">
      <c r="A42" s="19" t="s">
        <v>31</v>
      </c>
      <c r="B42" s="19">
        <v>-64073.78368</v>
      </c>
      <c r="C42" s="19">
        <v>-1.5497779999992325</v>
      </c>
      <c r="D42" s="19">
        <v>4.8110999996424653E-2</v>
      </c>
      <c r="E42" s="18">
        <v>1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W42" s="2"/>
      <c r="X42" s="15"/>
      <c r="Y42" s="15"/>
      <c r="Z42" s="15"/>
      <c r="AA42" s="15"/>
    </row>
    <row r="43" spans="1:27" ht="15" thickBot="1" x14ac:dyDescent="0.35">
      <c r="A43" s="19" t="s">
        <v>47</v>
      </c>
      <c r="B43" s="19">
        <v>-64090.298674999998</v>
      </c>
      <c r="C43" s="19">
        <v>-2.2541124999969568</v>
      </c>
      <c r="D43" s="19">
        <v>0.14272099999652887</v>
      </c>
      <c r="E43" s="19">
        <v>2</v>
      </c>
      <c r="F43" s="19">
        <v>0</v>
      </c>
      <c r="G43" s="19">
        <v>0</v>
      </c>
      <c r="H43" s="19">
        <v>1</v>
      </c>
      <c r="I43" s="19">
        <v>0</v>
      </c>
      <c r="J43" s="19">
        <v>0</v>
      </c>
      <c r="K43" s="19">
        <v>0</v>
      </c>
      <c r="N43" t="s">
        <v>7</v>
      </c>
      <c r="W43" s="2"/>
      <c r="X43" s="15"/>
      <c r="Y43" s="15"/>
      <c r="Z43" s="15"/>
      <c r="AA43" s="15"/>
    </row>
    <row r="44" spans="1:27" x14ac:dyDescent="0.3">
      <c r="A44" s="19" t="s">
        <v>48</v>
      </c>
      <c r="B44" s="19">
        <v>-64090.375950000001</v>
      </c>
      <c r="C44" s="19">
        <f>B44-$B$3-3*$R$4</f>
        <v>-2.3313875000002398</v>
      </c>
      <c r="D44" s="19">
        <v>6.5445999993245962E-2</v>
      </c>
      <c r="E44" s="19">
        <v>1</v>
      </c>
      <c r="F44" s="19">
        <v>0</v>
      </c>
      <c r="G44" s="19">
        <v>0</v>
      </c>
      <c r="H44" s="19">
        <v>0</v>
      </c>
      <c r="I44" s="19">
        <v>1</v>
      </c>
      <c r="J44" s="19">
        <v>0</v>
      </c>
      <c r="K44" s="19">
        <v>0</v>
      </c>
      <c r="N44" s="4"/>
      <c r="O44" s="4" t="s">
        <v>12</v>
      </c>
      <c r="P44" s="4" t="s">
        <v>13</v>
      </c>
      <c r="Q44" s="4" t="s">
        <v>14</v>
      </c>
      <c r="R44" s="4" t="s">
        <v>15</v>
      </c>
      <c r="S44" s="4" t="s">
        <v>16</v>
      </c>
    </row>
    <row r="45" spans="1:27" x14ac:dyDescent="0.3">
      <c r="A45" s="19" t="s">
        <v>54</v>
      </c>
      <c r="B45" s="19">
        <v>-64106.916719000001</v>
      </c>
      <c r="C45" s="19">
        <f>B45-$B$3-4*$R$4</f>
        <v>-3.061495999999515</v>
      </c>
      <c r="D45" s="19">
        <v>0.13428199999179924</v>
      </c>
      <c r="E45" s="19">
        <v>2</v>
      </c>
      <c r="F45" s="19">
        <v>1</v>
      </c>
      <c r="G45" s="19">
        <v>1</v>
      </c>
      <c r="H45" s="19">
        <v>1</v>
      </c>
      <c r="I45" s="19">
        <v>1</v>
      </c>
      <c r="J45" s="19">
        <v>0</v>
      </c>
      <c r="K45" s="19">
        <v>0</v>
      </c>
      <c r="N45" s="2" t="s">
        <v>8</v>
      </c>
      <c r="O45" s="2">
        <v>4</v>
      </c>
      <c r="P45" s="2">
        <v>4.4544805337685291</v>
      </c>
      <c r="Q45" s="2">
        <v>1.1136201334421323</v>
      </c>
      <c r="R45" s="2">
        <v>3419.3793009743326</v>
      </c>
      <c r="S45" s="2">
        <v>9.0979198153205987E-44</v>
      </c>
      <c r="W45" s="15"/>
      <c r="X45" s="15"/>
      <c r="Y45" s="15"/>
      <c r="Z45" s="15"/>
      <c r="AA45" s="15"/>
    </row>
    <row r="46" spans="1:27" x14ac:dyDescent="0.3">
      <c r="A46" s="19" t="s">
        <v>56</v>
      </c>
      <c r="B46" s="19">
        <v>-64106.815552</v>
      </c>
      <c r="C46" s="19">
        <f>B46-$B$3-4*$R$4</f>
        <v>-2.9603289999988007</v>
      </c>
      <c r="D46" s="19">
        <v>0.23544899999251356</v>
      </c>
      <c r="E46" s="19">
        <v>3</v>
      </c>
      <c r="F46" s="19">
        <v>1</v>
      </c>
      <c r="G46" s="19">
        <v>1</v>
      </c>
      <c r="H46" s="19">
        <v>1</v>
      </c>
      <c r="I46" s="19">
        <v>0</v>
      </c>
      <c r="J46" s="19">
        <v>0</v>
      </c>
      <c r="K46" s="19">
        <v>0</v>
      </c>
      <c r="N46" s="2" t="s">
        <v>9</v>
      </c>
      <c r="O46" s="2">
        <v>35</v>
      </c>
      <c r="P46" s="2">
        <v>1.1398766044869149E-2</v>
      </c>
      <c r="Q46" s="2">
        <v>3.2567902985340425E-4</v>
      </c>
      <c r="R46" s="2"/>
      <c r="S46" s="2"/>
      <c r="W46" s="15"/>
      <c r="X46" s="15"/>
      <c r="Y46" s="15"/>
      <c r="Z46" s="15"/>
      <c r="AA46" s="15"/>
    </row>
    <row r="47" spans="1:27" ht="15" thickBot="1" x14ac:dyDescent="0.35">
      <c r="A47" s="19" t="s">
        <v>58</v>
      </c>
      <c r="B47" s="19">
        <v>-64106.872261999997</v>
      </c>
      <c r="C47" s="19">
        <f>B47-$B$3-4*$R$4</f>
        <v>-3.0170389999959113</v>
      </c>
      <c r="D47" s="19">
        <v>0.17873899999540299</v>
      </c>
      <c r="E47" s="19">
        <v>2</v>
      </c>
      <c r="F47" s="19">
        <v>1</v>
      </c>
      <c r="G47" s="19">
        <v>0</v>
      </c>
      <c r="H47" s="19">
        <v>1</v>
      </c>
      <c r="I47" s="19">
        <v>1</v>
      </c>
      <c r="J47" s="19">
        <v>0</v>
      </c>
      <c r="K47" s="19">
        <v>0</v>
      </c>
      <c r="N47" s="3" t="s">
        <v>10</v>
      </c>
      <c r="O47" s="3">
        <v>39</v>
      </c>
      <c r="P47" s="3">
        <v>4.4658792998133983</v>
      </c>
      <c r="Q47" s="3"/>
      <c r="R47" s="3"/>
      <c r="S47" s="3"/>
      <c r="W47" s="15"/>
      <c r="X47" s="15"/>
      <c r="Y47" s="15"/>
      <c r="Z47" s="15"/>
      <c r="AA47" s="15"/>
    </row>
    <row r="48" spans="1:27" ht="15" thickBot="1" x14ac:dyDescent="0.35">
      <c r="A48" s="19" t="s">
        <v>60</v>
      </c>
      <c r="B48" s="19">
        <v>-64106.950879000004</v>
      </c>
      <c r="C48" s="19">
        <f>B48-$B$3-4*$R$4</f>
        <v>-3.0956560000023998</v>
      </c>
      <c r="D48" s="19">
        <v>0.10012199998891447</v>
      </c>
      <c r="E48" s="19">
        <v>1</v>
      </c>
      <c r="F48" s="19">
        <v>0</v>
      </c>
      <c r="G48" s="19">
        <v>1</v>
      </c>
      <c r="H48" s="19">
        <v>0</v>
      </c>
      <c r="I48" s="19">
        <v>2</v>
      </c>
      <c r="J48" s="19">
        <v>1</v>
      </c>
      <c r="K48" s="19">
        <v>0</v>
      </c>
      <c r="W48" s="15"/>
      <c r="X48" s="15"/>
      <c r="Y48" s="15"/>
      <c r="Z48" s="15"/>
      <c r="AA48" s="15"/>
    </row>
    <row r="49" spans="1:27" x14ac:dyDescent="0.3">
      <c r="A49" s="19" t="s">
        <v>61</v>
      </c>
      <c r="B49" s="19">
        <v>-64106.961837000003</v>
      </c>
      <c r="C49" s="19">
        <f>B49-$B$3-4*$R$4</f>
        <v>-3.1066140000013363</v>
      </c>
      <c r="D49" s="19">
        <v>8.9163999989978038E-2</v>
      </c>
      <c r="E49" s="19">
        <v>1</v>
      </c>
      <c r="F49" s="19">
        <v>0</v>
      </c>
      <c r="G49" s="19">
        <v>0</v>
      </c>
      <c r="H49" s="19">
        <v>1</v>
      </c>
      <c r="I49" s="19">
        <v>2</v>
      </c>
      <c r="J49" s="19">
        <v>0</v>
      </c>
      <c r="K49" s="19">
        <v>0</v>
      </c>
      <c r="N49" s="4"/>
      <c r="O49" s="4" t="s">
        <v>17</v>
      </c>
      <c r="P49" s="4" t="s">
        <v>5</v>
      </c>
      <c r="Q49" s="4" t="s">
        <v>18</v>
      </c>
      <c r="R49" s="4" t="s">
        <v>19</v>
      </c>
      <c r="S49" s="4" t="s">
        <v>20</v>
      </c>
      <c r="T49" s="4" t="s">
        <v>21</v>
      </c>
      <c r="U49" s="4" t="s">
        <v>22</v>
      </c>
      <c r="V49" s="4" t="s">
        <v>23</v>
      </c>
      <c r="W49" s="16"/>
      <c r="X49" s="15"/>
      <c r="Y49" s="15"/>
      <c r="Z49" s="15"/>
      <c r="AA49" s="15"/>
    </row>
    <row r="50" spans="1:27" x14ac:dyDescent="0.3">
      <c r="A50" s="19" t="s">
        <v>65</v>
      </c>
      <c r="B50" s="19">
        <v>-64123.421020000002</v>
      </c>
      <c r="C50" s="19">
        <f>B50-$B$3-5*$R$4</f>
        <v>-3.7551365000003614</v>
      </c>
      <c r="D50" s="19">
        <v>0.2395859999887815</v>
      </c>
      <c r="E50" s="19">
        <v>2</v>
      </c>
      <c r="F50" s="19">
        <v>2</v>
      </c>
      <c r="G50" s="19">
        <v>1</v>
      </c>
      <c r="H50" s="19">
        <v>2</v>
      </c>
      <c r="I50" s="19">
        <v>2</v>
      </c>
      <c r="J50" s="19">
        <v>1</v>
      </c>
      <c r="K50" s="19">
        <v>0</v>
      </c>
      <c r="N50" s="2" t="s">
        <v>11</v>
      </c>
      <c r="O50" s="2">
        <v>0</v>
      </c>
      <c r="P50" s="2" t="e">
        <v>#N/A</v>
      </c>
      <c r="Q50" s="2" t="e">
        <v>#N/A</v>
      </c>
      <c r="R50" s="2" t="e">
        <v>#N/A</v>
      </c>
      <c r="S50" s="2" t="e">
        <v>#N/A</v>
      </c>
      <c r="T50" s="2" t="e">
        <v>#N/A</v>
      </c>
      <c r="U50" s="2" t="e">
        <v>#N/A</v>
      </c>
      <c r="V50" s="2" t="e">
        <v>#N/A</v>
      </c>
      <c r="W50" s="2"/>
      <c r="X50" s="15"/>
      <c r="Y50" s="15"/>
      <c r="Z50" s="15"/>
      <c r="AA50" s="15"/>
    </row>
    <row r="51" spans="1:27" x14ac:dyDescent="0.3">
      <c r="A51" s="19" t="s">
        <v>66</v>
      </c>
      <c r="B51" s="19">
        <v>-64123.388493999999</v>
      </c>
      <c r="C51" s="19">
        <f>B51-$B$3-5*$R$4</f>
        <v>-3.7226104999976712</v>
      </c>
      <c r="D51" s="19">
        <v>0.27211199999147162</v>
      </c>
      <c r="E51" s="19">
        <v>3</v>
      </c>
      <c r="F51" s="19">
        <v>2</v>
      </c>
      <c r="G51" s="19">
        <v>1</v>
      </c>
      <c r="H51" s="19">
        <v>2</v>
      </c>
      <c r="I51" s="19">
        <v>1</v>
      </c>
      <c r="J51" s="19">
        <v>1</v>
      </c>
      <c r="K51" s="19">
        <v>0</v>
      </c>
      <c r="N51" s="13" t="s">
        <v>32</v>
      </c>
      <c r="O51" s="22">
        <v>2.8136646658005974E-2</v>
      </c>
      <c r="P51" s="2">
        <v>2.03983691187797E-3</v>
      </c>
      <c r="Q51" s="2">
        <v>13.793576581620954</v>
      </c>
      <c r="R51" s="2">
        <v>1.0243869220407834E-15</v>
      </c>
      <c r="S51" s="2">
        <v>2.3995557570864808E-2</v>
      </c>
      <c r="T51" s="2">
        <v>3.227773574514714E-2</v>
      </c>
      <c r="U51" s="2">
        <v>2.3995557570864808E-2</v>
      </c>
      <c r="V51" s="2">
        <v>3.227773574514714E-2</v>
      </c>
      <c r="W51" s="2"/>
      <c r="X51" s="15"/>
      <c r="Y51" s="15"/>
      <c r="Z51" s="15"/>
      <c r="AA51" s="15"/>
    </row>
    <row r="52" spans="1:27" x14ac:dyDescent="0.3">
      <c r="A52" s="19" t="s">
        <v>67</v>
      </c>
      <c r="B52" s="19">
        <v>-64123.376656</v>
      </c>
      <c r="C52" s="19">
        <f>B52-$B$3-5*$R$4</f>
        <v>-3.7107724999991376</v>
      </c>
      <c r="D52" s="19">
        <v>0.28394999999000525</v>
      </c>
      <c r="E52" s="19">
        <v>3</v>
      </c>
      <c r="F52" s="19">
        <v>2</v>
      </c>
      <c r="G52" s="19">
        <v>1</v>
      </c>
      <c r="H52" s="19">
        <v>2</v>
      </c>
      <c r="I52" s="19">
        <v>1</v>
      </c>
      <c r="J52" s="19">
        <v>0</v>
      </c>
      <c r="K52" s="19">
        <v>0</v>
      </c>
      <c r="N52" s="13" t="s">
        <v>33</v>
      </c>
      <c r="O52" s="22">
        <v>6.7584002680837708E-3</v>
      </c>
      <c r="P52" s="2">
        <v>3.5775352625536019E-3</v>
      </c>
      <c r="Q52" s="2">
        <v>1.8891219155334631</v>
      </c>
      <c r="R52" s="2">
        <v>6.718354705838761E-2</v>
      </c>
      <c r="S52" s="2">
        <v>-5.0438243202147182E-4</v>
      </c>
      <c r="T52" s="2">
        <v>1.4021182968189013E-2</v>
      </c>
      <c r="U52" s="2">
        <v>-5.0438243202147182E-4</v>
      </c>
      <c r="V52" s="2">
        <v>1.4021182968189013E-2</v>
      </c>
      <c r="W52" s="2"/>
      <c r="X52" s="15"/>
      <c r="Y52" s="15"/>
      <c r="Z52" s="15"/>
      <c r="AA52" s="15"/>
    </row>
    <row r="53" spans="1:27" x14ac:dyDescent="0.3">
      <c r="A53" s="19" t="s">
        <v>68</v>
      </c>
      <c r="B53" s="19">
        <v>-64123.293799999999</v>
      </c>
      <c r="C53" s="19">
        <f>B53-$B$3-5*$R$4</f>
        <v>-3.6279164999982356</v>
      </c>
      <c r="D53" s="19">
        <v>0.36680599999090724</v>
      </c>
      <c r="E53" s="19">
        <v>4</v>
      </c>
      <c r="F53" s="19">
        <v>2</v>
      </c>
      <c r="G53" s="19">
        <v>2</v>
      </c>
      <c r="H53" s="19">
        <v>2</v>
      </c>
      <c r="I53" s="19">
        <v>0</v>
      </c>
      <c r="J53" s="19">
        <v>0</v>
      </c>
      <c r="K53" s="19">
        <v>0</v>
      </c>
      <c r="N53" s="13" t="s">
        <v>34</v>
      </c>
      <c r="O53" s="22">
        <v>9.635652480046792E-3</v>
      </c>
      <c r="P53" s="2">
        <v>1.4617038426839408E-3</v>
      </c>
      <c r="Q53" s="2">
        <v>6.5920689257777889</v>
      </c>
      <c r="R53" s="2">
        <v>1.2923367465830563E-7</v>
      </c>
      <c r="S53" s="2">
        <v>6.66823592026013E-3</v>
      </c>
      <c r="T53" s="2">
        <v>1.2603069039833454E-2</v>
      </c>
      <c r="U53" s="2">
        <v>6.66823592026013E-3</v>
      </c>
      <c r="V53" s="2">
        <v>1.2603069039833454E-2</v>
      </c>
      <c r="W53" s="2"/>
      <c r="X53" s="15"/>
      <c r="Y53" s="15"/>
      <c r="Z53" s="15"/>
      <c r="AA53" s="15"/>
    </row>
    <row r="54" spans="1:27" ht="16.2" thickBot="1" x14ac:dyDescent="0.35">
      <c r="A54" s="19" t="s">
        <v>45</v>
      </c>
      <c r="B54" s="19">
        <v>-64073.826313999998</v>
      </c>
      <c r="C54" s="19">
        <f>B54-$B$3-2*$R$4</f>
        <v>-1.592411999996866</v>
      </c>
      <c r="D54" s="19">
        <v>5.4769999987911433E-3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N54" s="13" t="s">
        <v>35</v>
      </c>
      <c r="O54" s="23">
        <v>1.2945702979984035E-2</v>
      </c>
      <c r="P54" s="3">
        <v>4.8543276145109667E-3</v>
      </c>
      <c r="Q54" s="3">
        <v>2.6668375124261585</v>
      </c>
      <c r="R54" s="3">
        <v>1.1514817686633299E-2</v>
      </c>
      <c r="S54" s="3">
        <v>3.0908940034407428E-3</v>
      </c>
      <c r="T54" s="3">
        <v>2.2800511956527325E-2</v>
      </c>
      <c r="U54" s="3">
        <v>3.0908940034407428E-3</v>
      </c>
      <c r="V54" s="3">
        <v>2.2800511956527325E-2</v>
      </c>
      <c r="W54" s="15"/>
      <c r="X54" s="15"/>
      <c r="Y54" s="15"/>
      <c r="Z54" s="15"/>
      <c r="AA54" s="15"/>
    </row>
    <row r="55" spans="1:27" ht="15.6" x14ac:dyDescent="0.3">
      <c r="A55" s="19" t="s">
        <v>36</v>
      </c>
      <c r="B55" s="19">
        <v>-64073.820087</v>
      </c>
      <c r="C55" s="19">
        <f>B55-$B$3-2*$R$4</f>
        <v>-1.5861849999988316</v>
      </c>
      <c r="D55" s="19">
        <v>1.1703999996825587E-2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1</v>
      </c>
      <c r="K55" s="18">
        <v>0</v>
      </c>
      <c r="W55" s="15"/>
      <c r="X55" s="15"/>
      <c r="Y55" s="15"/>
      <c r="Z55" s="15"/>
      <c r="AA55" s="15"/>
    </row>
    <row r="56" spans="1:27" x14ac:dyDescent="0.3">
      <c r="W56" s="15"/>
      <c r="X56" s="15"/>
      <c r="Y56" s="15"/>
      <c r="Z56" s="15"/>
      <c r="AA56" s="15"/>
    </row>
    <row r="57" spans="1:27" x14ac:dyDescent="0.3">
      <c r="W57" s="15"/>
      <c r="X57" s="15"/>
      <c r="Y57" s="15"/>
      <c r="Z57" s="15"/>
      <c r="AA57" s="15"/>
    </row>
    <row r="58" spans="1:27" x14ac:dyDescent="0.3">
      <c r="N58" s="2"/>
      <c r="O58" s="2"/>
      <c r="P58" s="2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x14ac:dyDescent="0.3">
      <c r="N59" s="2"/>
      <c r="O59" s="2"/>
      <c r="P59" s="2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x14ac:dyDescent="0.3">
      <c r="N60" s="2"/>
      <c r="O60" s="2"/>
      <c r="P60" s="2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x14ac:dyDescent="0.3">
      <c r="N61" s="2"/>
      <c r="O61" s="2"/>
      <c r="P61" s="2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x14ac:dyDescent="0.3">
      <c r="N62" s="2"/>
      <c r="O62" s="2"/>
      <c r="P62" s="2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x14ac:dyDescent="0.3">
      <c r="N63" s="2"/>
      <c r="O63" s="2"/>
      <c r="P63" s="2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x14ac:dyDescent="0.3">
      <c r="N64" s="2"/>
      <c r="O64" s="2"/>
      <c r="P64" s="2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4:27" x14ac:dyDescent="0.3">
      <c r="N65" s="2"/>
      <c r="O65" s="2"/>
      <c r="P65" s="2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4:27" x14ac:dyDescent="0.3">
      <c r="N66" s="2"/>
      <c r="O66" s="2"/>
      <c r="P66" s="2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4:27" x14ac:dyDescent="0.3">
      <c r="N67" s="2"/>
      <c r="O67" s="2"/>
      <c r="P67" s="2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4:27" x14ac:dyDescent="0.3">
      <c r="N68" s="2"/>
      <c r="O68" s="2"/>
      <c r="P68" s="2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4:27" x14ac:dyDescent="0.3">
      <c r="N69" s="2"/>
      <c r="O69" s="2"/>
      <c r="P69" s="2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4:27" x14ac:dyDescent="0.3">
      <c r="N70" s="2"/>
      <c r="O70" s="2"/>
      <c r="P70" s="2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4:27" x14ac:dyDescent="0.3">
      <c r="N71" s="2"/>
      <c r="O71" s="2"/>
      <c r="P71" s="2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4:27" x14ac:dyDescent="0.3">
      <c r="N72" s="2"/>
      <c r="O72" s="2"/>
      <c r="P72" s="2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4:27" x14ac:dyDescent="0.3">
      <c r="N73" s="2"/>
      <c r="O73" s="2"/>
      <c r="P73" s="2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4:27" x14ac:dyDescent="0.3">
      <c r="N74" s="2"/>
      <c r="O74" s="2"/>
      <c r="P74" s="2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4:27" x14ac:dyDescent="0.3">
      <c r="N75" s="2"/>
      <c r="O75" s="2"/>
      <c r="P75" s="2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4:27" x14ac:dyDescent="0.3">
      <c r="N76" s="2"/>
      <c r="O76" s="2"/>
      <c r="P76" s="2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4:27" x14ac:dyDescent="0.3">
      <c r="N77" s="2"/>
      <c r="O77" s="2"/>
      <c r="P77" s="2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4:27" x14ac:dyDescent="0.3">
      <c r="N78" s="2"/>
      <c r="O78" s="2"/>
      <c r="P78" s="2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4:27" x14ac:dyDescent="0.3">
      <c r="N79" s="2"/>
      <c r="O79" s="2"/>
      <c r="P79" s="2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4:27" x14ac:dyDescent="0.3">
      <c r="N80" s="2"/>
      <c r="O80" s="2"/>
      <c r="P80" s="2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4:27" x14ac:dyDescent="0.3">
      <c r="N81" s="2"/>
      <c r="O81" s="2"/>
      <c r="P81" s="2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4:27" x14ac:dyDescent="0.3">
      <c r="N82" s="2"/>
      <c r="O82" s="2"/>
      <c r="P82" s="2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4:27" x14ac:dyDescent="0.3">
      <c r="N83" s="2"/>
      <c r="O83" s="2"/>
      <c r="P83" s="2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4:27" x14ac:dyDescent="0.3">
      <c r="N84" s="2"/>
      <c r="O84" s="2"/>
      <c r="P84" s="2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4:27" x14ac:dyDescent="0.3">
      <c r="N85" s="2"/>
      <c r="O85" s="2"/>
      <c r="P85" s="2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4:27" x14ac:dyDescent="0.3">
      <c r="N86" s="2"/>
      <c r="O86" s="2"/>
      <c r="P86" s="2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4:27" x14ac:dyDescent="0.3">
      <c r="N87" s="2"/>
      <c r="O87" s="2"/>
      <c r="P87" s="2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4:27" x14ac:dyDescent="0.3">
      <c r="N88" s="2"/>
      <c r="O88" s="2"/>
      <c r="P88" s="2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4:27" x14ac:dyDescent="0.3">
      <c r="N89" s="2"/>
      <c r="O89" s="2"/>
      <c r="P89" s="2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4:27" x14ac:dyDescent="0.3">
      <c r="N90" s="2"/>
      <c r="O90" s="2"/>
      <c r="P90" s="2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4:27" x14ac:dyDescent="0.3">
      <c r="N91" s="2"/>
      <c r="O91" s="2"/>
      <c r="P91" s="2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4:27" x14ac:dyDescent="0.3">
      <c r="N92" s="2"/>
      <c r="O92" s="2"/>
      <c r="P92" s="2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4:27" x14ac:dyDescent="0.3">
      <c r="N93" s="2"/>
      <c r="O93" s="2"/>
      <c r="P93" s="2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4:27" x14ac:dyDescent="0.3">
      <c r="N94" s="2"/>
      <c r="O94" s="2"/>
      <c r="P94" s="2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4:27" x14ac:dyDescent="0.3">
      <c r="N95" s="2"/>
      <c r="O95" s="2"/>
      <c r="P95" s="2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4:27" x14ac:dyDescent="0.3">
      <c r="N96" s="2"/>
      <c r="O96" s="2"/>
      <c r="P96" s="2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4:27" x14ac:dyDescent="0.3">
      <c r="N97" s="2"/>
      <c r="O97" s="2"/>
      <c r="P97" s="2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4:27" x14ac:dyDescent="0.3">
      <c r="N98" s="2"/>
      <c r="O98" s="2"/>
      <c r="P98" s="2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4:27" x14ac:dyDescent="0.3">
      <c r="N99" s="2"/>
      <c r="O99" s="2"/>
      <c r="P99" s="2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4:27" x14ac:dyDescent="0.3">
      <c r="N100" s="2"/>
      <c r="O100" s="2"/>
      <c r="P100" s="2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4:27" x14ac:dyDescent="0.3">
      <c r="N101" s="2"/>
      <c r="O101" s="2"/>
      <c r="P101" s="2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4:27" x14ac:dyDescent="0.3">
      <c r="N102" s="2"/>
      <c r="O102" s="2"/>
      <c r="P102" s="2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4:27" x14ac:dyDescent="0.3">
      <c r="N103" s="2"/>
      <c r="O103" s="2"/>
      <c r="P103" s="2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4:27" x14ac:dyDescent="0.3"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4:27" x14ac:dyDescent="0.3"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4:27" x14ac:dyDescent="0.3"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4:27" x14ac:dyDescent="0.3"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4:27" x14ac:dyDescent="0.3"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4:27" x14ac:dyDescent="0.3"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4:27" x14ac:dyDescent="0.3"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4:27" x14ac:dyDescent="0.3"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4:27" x14ac:dyDescent="0.3"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4:27" x14ac:dyDescent="0.3"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4:27" x14ac:dyDescent="0.3"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4:27" x14ac:dyDescent="0.3"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4:27" x14ac:dyDescent="0.3"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4:27" x14ac:dyDescent="0.3"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4:27" x14ac:dyDescent="0.3"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4:27" x14ac:dyDescent="0.3"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4:27" x14ac:dyDescent="0.3"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4:27" x14ac:dyDescent="0.3"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4:27" x14ac:dyDescent="0.3"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4:27" x14ac:dyDescent="0.3"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4:27" x14ac:dyDescent="0.3"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4:27" x14ac:dyDescent="0.3"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4:27" x14ac:dyDescent="0.3"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4:27" x14ac:dyDescent="0.3"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4:27" x14ac:dyDescent="0.3"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4:27" x14ac:dyDescent="0.3"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4:27" x14ac:dyDescent="0.3"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4:27" x14ac:dyDescent="0.3"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4:27" x14ac:dyDescent="0.3"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4:27" x14ac:dyDescent="0.3"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</sheetData>
  <conditionalFormatting sqref="A5:K55">
    <cfRule type="expression" dxfId="1" priority="1">
      <formula>MOD(ROW(),2)&gt;0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9"/>
  <sheetViews>
    <sheetView topLeftCell="A12" workbookViewId="0">
      <selection activeCell="R26" sqref="R26"/>
    </sheetView>
  </sheetViews>
  <sheetFormatPr defaultRowHeight="14.4" x14ac:dyDescent="0.3"/>
  <cols>
    <col min="14" max="14" width="17.44140625" bestFit="1" customWidth="1"/>
  </cols>
  <sheetData>
    <row r="1" spans="1:26" x14ac:dyDescent="0.3">
      <c r="B1" s="14" t="s">
        <v>38</v>
      </c>
      <c r="C1" s="14" t="s">
        <v>90</v>
      </c>
      <c r="Q1" s="7" t="s">
        <v>41</v>
      </c>
    </row>
    <row r="2" spans="1:26" ht="15.6" x14ac:dyDescent="0.3">
      <c r="C2" s="6"/>
      <c r="D2" s="6"/>
      <c r="Q2" s="8">
        <v>-31.621320999999998</v>
      </c>
    </row>
    <row r="3" spans="1:26" x14ac:dyDescent="0.3">
      <c r="A3" s="9" t="s">
        <v>39</v>
      </c>
      <c r="B3" s="9">
        <v>-64040.612581000001</v>
      </c>
      <c r="C3" s="9"/>
      <c r="P3" t="s">
        <v>42</v>
      </c>
      <c r="Q3" t="s">
        <v>43</v>
      </c>
    </row>
    <row r="4" spans="1:26" ht="15.6" x14ac:dyDescent="0.3">
      <c r="A4" s="12" t="s">
        <v>40</v>
      </c>
      <c r="B4" s="12">
        <v>-64057.222185999999</v>
      </c>
      <c r="C4" s="12">
        <f>B4-$B$3-$R$4</f>
        <v>-0.79894449999782857</v>
      </c>
      <c r="D4" s="11"/>
      <c r="E4" s="17" t="s">
        <v>31</v>
      </c>
      <c r="F4" s="13" t="s">
        <v>32</v>
      </c>
      <c r="G4" s="13" t="s">
        <v>33</v>
      </c>
      <c r="H4" s="13" t="s">
        <v>34</v>
      </c>
      <c r="I4" s="17" t="s">
        <v>36</v>
      </c>
      <c r="J4" s="17" t="s">
        <v>37</v>
      </c>
      <c r="K4" s="17" t="s">
        <v>35</v>
      </c>
      <c r="P4">
        <f>Q4*2-4.525</f>
        <v>-31.621000000000002</v>
      </c>
      <c r="Q4">
        <v>-13.548</v>
      </c>
      <c r="R4">
        <f>Q2/2</f>
        <v>-15.810660499999999</v>
      </c>
    </row>
    <row r="5" spans="1:26" ht="15.6" x14ac:dyDescent="0.3">
      <c r="A5" s="10" t="s">
        <v>33</v>
      </c>
      <c r="B5" s="10">
        <v>-64073.824418999997</v>
      </c>
      <c r="C5" s="11">
        <f>B5-$B$3-2*$R$4</f>
        <v>-1.590516999995625</v>
      </c>
      <c r="D5" s="11">
        <v>7.3720000000321306E-3</v>
      </c>
      <c r="E5" s="18">
        <v>0</v>
      </c>
      <c r="F5" s="10">
        <v>0</v>
      </c>
      <c r="G5" s="10">
        <v>1</v>
      </c>
      <c r="H5" s="10">
        <v>0</v>
      </c>
      <c r="I5" s="18">
        <v>0</v>
      </c>
      <c r="J5" s="18">
        <v>0</v>
      </c>
      <c r="K5" s="18">
        <v>0</v>
      </c>
      <c r="Q5" t="s">
        <v>44</v>
      </c>
      <c r="T5">
        <v>-12.276583</v>
      </c>
      <c r="U5" s="1"/>
    </row>
    <row r="6" spans="1:26" ht="15.6" x14ac:dyDescent="0.3">
      <c r="A6" s="11" t="s">
        <v>32</v>
      </c>
      <c r="B6" s="11">
        <v>-64073.795804000001</v>
      </c>
      <c r="C6" s="11">
        <f>B6-$B$3-2*$R$4</f>
        <v>-1.5619019999999999</v>
      </c>
      <c r="D6" s="11">
        <v>3.5986999995657243E-2</v>
      </c>
      <c r="E6" s="18">
        <v>0</v>
      </c>
      <c r="F6" s="10">
        <v>1</v>
      </c>
      <c r="G6" s="10">
        <v>0</v>
      </c>
      <c r="H6" s="10">
        <v>0</v>
      </c>
      <c r="I6" s="18">
        <v>0</v>
      </c>
      <c r="J6" s="18">
        <v>0</v>
      </c>
      <c r="K6" s="18">
        <v>0</v>
      </c>
      <c r="O6" s="1"/>
      <c r="P6" s="1"/>
      <c r="Q6" s="1"/>
      <c r="R6" s="1"/>
      <c r="S6" s="1"/>
      <c r="T6" s="1"/>
      <c r="U6" s="1"/>
    </row>
    <row r="7" spans="1:26" ht="15.6" x14ac:dyDescent="0.3">
      <c r="A7" s="11" t="s">
        <v>34</v>
      </c>
      <c r="B7" s="11">
        <v>-64073.826342</v>
      </c>
      <c r="C7" s="11">
        <f>B7-$B$3-2*$R$4</f>
        <v>-1.592439999999069</v>
      </c>
      <c r="D7" s="11">
        <v>5.4489999965880997E-3</v>
      </c>
      <c r="E7" s="18">
        <v>0</v>
      </c>
      <c r="F7" s="10">
        <v>0</v>
      </c>
      <c r="G7" s="10">
        <v>0</v>
      </c>
      <c r="H7" s="10">
        <v>1</v>
      </c>
      <c r="I7" s="18">
        <v>0</v>
      </c>
      <c r="J7" s="18">
        <v>0</v>
      </c>
      <c r="K7" s="18">
        <v>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6" x14ac:dyDescent="0.3">
      <c r="A8" s="19" t="s">
        <v>45</v>
      </c>
      <c r="B8" s="19">
        <v>-64073.826313999998</v>
      </c>
      <c r="C8" s="19">
        <f>B8-$B$3-2*$R$4</f>
        <v>-1.592411999996866</v>
      </c>
      <c r="D8" s="19">
        <v>5.4769999987911433E-3</v>
      </c>
      <c r="E8" s="18">
        <v>0</v>
      </c>
      <c r="F8" s="10">
        <v>0</v>
      </c>
      <c r="G8" s="10">
        <v>0</v>
      </c>
      <c r="H8" s="10">
        <v>0</v>
      </c>
      <c r="I8" s="18">
        <v>0</v>
      </c>
      <c r="J8" s="18">
        <v>0</v>
      </c>
      <c r="K8" s="18">
        <v>0</v>
      </c>
      <c r="N8" t="s">
        <v>0</v>
      </c>
      <c r="W8" s="25"/>
      <c r="X8" s="25"/>
      <c r="Y8" s="25"/>
      <c r="Z8" s="25"/>
    </row>
    <row r="9" spans="1:26" ht="16.2" thickBot="1" x14ac:dyDescent="0.35">
      <c r="A9" s="19" t="s">
        <v>36</v>
      </c>
      <c r="B9" s="19">
        <v>-64073.820087</v>
      </c>
      <c r="C9" s="19">
        <f>B9-$B$3-2*$R$4</f>
        <v>-1.5861849999988316</v>
      </c>
      <c r="D9" s="19">
        <v>1.1703999996825587E-2</v>
      </c>
      <c r="E9" s="18">
        <v>0</v>
      </c>
      <c r="F9" s="10">
        <v>0</v>
      </c>
      <c r="G9" s="10">
        <v>0</v>
      </c>
      <c r="H9" s="10">
        <v>0</v>
      </c>
      <c r="I9" s="18">
        <v>1</v>
      </c>
      <c r="J9" s="18">
        <v>0</v>
      </c>
      <c r="K9" s="18">
        <v>0</v>
      </c>
      <c r="W9" s="25"/>
      <c r="X9" s="25"/>
      <c r="Y9" s="25"/>
      <c r="Z9" s="25"/>
    </row>
    <row r="10" spans="1:26" x14ac:dyDescent="0.3">
      <c r="A10" s="11" t="s">
        <v>46</v>
      </c>
      <c r="B10" s="11">
        <v>-64090.389736999998</v>
      </c>
      <c r="C10" s="11">
        <f>B10-$B$3-3*$R$4</f>
        <v>-2.3451744999964674</v>
      </c>
      <c r="D10" s="11">
        <v>5.1658999997018284E-2</v>
      </c>
      <c r="E10" s="19">
        <v>0</v>
      </c>
      <c r="F10" s="11">
        <v>1</v>
      </c>
      <c r="G10" s="11">
        <v>1</v>
      </c>
      <c r="H10" s="11">
        <v>1</v>
      </c>
      <c r="I10" s="19">
        <v>0</v>
      </c>
      <c r="J10" s="19">
        <v>0</v>
      </c>
      <c r="K10" s="19">
        <v>0</v>
      </c>
      <c r="N10" s="5" t="s">
        <v>1</v>
      </c>
      <c r="O10" s="5"/>
      <c r="W10" s="25"/>
      <c r="X10" s="25"/>
      <c r="Y10" s="25"/>
      <c r="Z10" s="25"/>
    </row>
    <row r="11" spans="1:26" x14ac:dyDescent="0.3">
      <c r="A11" s="11" t="s">
        <v>49</v>
      </c>
      <c r="B11" s="11">
        <v>-64090.397914000001</v>
      </c>
      <c r="C11" s="11">
        <f>B11-$B$3-3*$R$4</f>
        <v>-2.3533514999998104</v>
      </c>
      <c r="D11" s="11">
        <v>4.3481999993675302E-2</v>
      </c>
      <c r="E11" s="19">
        <v>0</v>
      </c>
      <c r="F11" s="11">
        <v>1</v>
      </c>
      <c r="G11" s="11">
        <v>0</v>
      </c>
      <c r="H11" s="11">
        <v>1</v>
      </c>
      <c r="I11" s="19">
        <v>0</v>
      </c>
      <c r="J11" s="19">
        <v>0</v>
      </c>
      <c r="K11" s="19">
        <v>0</v>
      </c>
      <c r="N11" s="2" t="s">
        <v>2</v>
      </c>
      <c r="O11" s="2">
        <v>0.99872335054556383</v>
      </c>
      <c r="W11" s="25"/>
      <c r="X11" s="25"/>
      <c r="Y11" s="25"/>
      <c r="Z11" s="25"/>
    </row>
    <row r="12" spans="1:26" x14ac:dyDescent="0.3">
      <c r="A12" s="11" t="s">
        <v>51</v>
      </c>
      <c r="B12" s="11">
        <v>-64090.372091999998</v>
      </c>
      <c r="C12" s="11">
        <f>B12-$B$3-3*$R$4</f>
        <v>-2.3275294999965652</v>
      </c>
      <c r="D12" s="11">
        <v>6.9303999996920496E-2</v>
      </c>
      <c r="E12" s="19">
        <v>0</v>
      </c>
      <c r="F12" s="11">
        <v>2</v>
      </c>
      <c r="G12" s="11">
        <v>0</v>
      </c>
      <c r="H12" s="11">
        <v>0</v>
      </c>
      <c r="I12" s="19">
        <v>1</v>
      </c>
      <c r="J12" s="19">
        <v>0</v>
      </c>
      <c r="K12" s="19">
        <v>0</v>
      </c>
      <c r="N12" s="2" t="s">
        <v>3</v>
      </c>
      <c r="O12" s="2">
        <v>0.99744833092495711</v>
      </c>
      <c r="W12" s="25"/>
      <c r="X12" s="25"/>
      <c r="Y12" s="25"/>
      <c r="Z12" s="25"/>
    </row>
    <row r="13" spans="1:26" x14ac:dyDescent="0.3">
      <c r="A13" s="11" t="s">
        <v>52</v>
      </c>
      <c r="B13" s="11">
        <v>-64090.429834000002</v>
      </c>
      <c r="C13" s="11">
        <f>B13-$B$3-3*$R$4</f>
        <v>-2.3852715000010747</v>
      </c>
      <c r="D13" s="11">
        <v>1.1561999992411032E-2</v>
      </c>
      <c r="E13" s="19">
        <v>0</v>
      </c>
      <c r="F13" s="11">
        <v>0</v>
      </c>
      <c r="G13" s="11">
        <v>0</v>
      </c>
      <c r="H13" s="11">
        <v>3</v>
      </c>
      <c r="I13" s="19">
        <v>0</v>
      </c>
      <c r="J13" s="19">
        <v>0</v>
      </c>
      <c r="K13" s="19">
        <v>0</v>
      </c>
      <c r="N13" s="2" t="s">
        <v>4</v>
      </c>
      <c r="O13" s="2">
        <v>0.96699065401131823</v>
      </c>
      <c r="W13" s="25"/>
      <c r="X13" s="25"/>
      <c r="Y13" s="25"/>
      <c r="Z13" s="25"/>
    </row>
    <row r="14" spans="1:26" x14ac:dyDescent="0.3">
      <c r="A14" s="11" t="s">
        <v>53</v>
      </c>
      <c r="B14" s="11">
        <v>-64106.964669000001</v>
      </c>
      <c r="C14" s="11">
        <f>B14-$B$3-4*$R$4</f>
        <v>-3.1094459999996431</v>
      </c>
      <c r="D14" s="11">
        <v>8.6331999991671182E-2</v>
      </c>
      <c r="E14" s="19">
        <v>0</v>
      </c>
      <c r="F14" s="11">
        <v>2</v>
      </c>
      <c r="G14" s="11">
        <v>1</v>
      </c>
      <c r="H14" s="11">
        <v>2</v>
      </c>
      <c r="I14" s="19">
        <v>0</v>
      </c>
      <c r="J14" s="19">
        <v>0</v>
      </c>
      <c r="K14" s="19">
        <v>0</v>
      </c>
      <c r="N14" s="2" t="s">
        <v>5</v>
      </c>
      <c r="O14" s="2">
        <v>1.8574657818883424E-2</v>
      </c>
      <c r="W14" s="25"/>
      <c r="X14" s="25"/>
      <c r="Y14" s="25"/>
      <c r="Z14" s="25"/>
    </row>
    <row r="15" spans="1:26" ht="15" thickBot="1" x14ac:dyDescent="0.35">
      <c r="A15" s="11" t="s">
        <v>55</v>
      </c>
      <c r="B15" s="11">
        <v>-64106.969994999999</v>
      </c>
      <c r="C15" s="11">
        <f>B15-$B$3-4*$R$4</f>
        <v>-3.1147719999982471</v>
      </c>
      <c r="D15" s="11">
        <v>8.1005999993067235E-2</v>
      </c>
      <c r="E15" s="19">
        <v>0</v>
      </c>
      <c r="F15" s="11">
        <v>2</v>
      </c>
      <c r="G15" s="11">
        <v>1</v>
      </c>
      <c r="H15" s="11">
        <v>2</v>
      </c>
      <c r="I15" s="19">
        <v>1</v>
      </c>
      <c r="J15" s="19">
        <v>0</v>
      </c>
      <c r="K15" s="19">
        <v>0</v>
      </c>
      <c r="N15" s="3" t="s">
        <v>6</v>
      </c>
      <c r="O15" s="3">
        <v>36</v>
      </c>
      <c r="W15" s="25"/>
      <c r="X15" s="25"/>
      <c r="Y15" s="25"/>
      <c r="Z15" s="25"/>
    </row>
    <row r="16" spans="1:26" x14ac:dyDescent="0.3">
      <c r="A16" s="11" t="s">
        <v>57</v>
      </c>
      <c r="B16" s="11">
        <v>-64106.968430000001</v>
      </c>
      <c r="C16" s="11">
        <f>B16-$B$3-4*$R$4</f>
        <v>-3.1132069999995835</v>
      </c>
      <c r="D16" s="11">
        <v>8.2570999991730787E-2</v>
      </c>
      <c r="E16" s="19">
        <v>0</v>
      </c>
      <c r="F16" s="11">
        <v>2</v>
      </c>
      <c r="G16" s="11">
        <v>1</v>
      </c>
      <c r="H16" s="11">
        <v>1</v>
      </c>
      <c r="I16" s="19">
        <v>1</v>
      </c>
      <c r="J16" s="19">
        <v>0</v>
      </c>
      <c r="K16" s="19">
        <v>0</v>
      </c>
      <c r="W16" s="25"/>
      <c r="X16" s="25"/>
      <c r="Y16" s="25"/>
      <c r="Z16" s="25"/>
    </row>
    <row r="17" spans="1:26" ht="15" thickBot="1" x14ac:dyDescent="0.35">
      <c r="A17" s="11" t="s">
        <v>59</v>
      </c>
      <c r="B17" s="11">
        <v>-64106.993028999997</v>
      </c>
      <c r="C17" s="11">
        <f>B17-$B$3-4*$R$4</f>
        <v>-3.1378059999962531</v>
      </c>
      <c r="D17" s="11">
        <v>5.7971999995061196E-2</v>
      </c>
      <c r="E17" s="19">
        <v>0</v>
      </c>
      <c r="F17" s="11">
        <v>1</v>
      </c>
      <c r="G17" s="11">
        <v>1</v>
      </c>
      <c r="H17" s="11">
        <v>3</v>
      </c>
      <c r="I17" s="19">
        <v>0</v>
      </c>
      <c r="J17" s="19">
        <v>0</v>
      </c>
      <c r="K17" s="19">
        <v>0</v>
      </c>
      <c r="N17" t="s">
        <v>7</v>
      </c>
      <c r="W17" s="25"/>
      <c r="X17" s="25"/>
      <c r="Y17" s="25"/>
      <c r="Z17" s="25"/>
    </row>
    <row r="18" spans="1:26" x14ac:dyDescent="0.3">
      <c r="A18" s="11" t="s">
        <v>63</v>
      </c>
      <c r="B18" s="11">
        <v>-64123.595280000001</v>
      </c>
      <c r="C18" s="11">
        <f>B18-$B$3-5*$R$4</f>
        <v>-3.9293965000001378</v>
      </c>
      <c r="D18" s="11">
        <v>6.5325999989005012E-2</v>
      </c>
      <c r="E18" s="19">
        <v>0</v>
      </c>
      <c r="F18" s="11">
        <v>0</v>
      </c>
      <c r="G18" s="11">
        <v>0</v>
      </c>
      <c r="H18" s="11">
        <v>6</v>
      </c>
      <c r="I18" s="19">
        <v>2</v>
      </c>
      <c r="J18" s="19">
        <v>2</v>
      </c>
      <c r="K18" s="19">
        <v>0</v>
      </c>
      <c r="N18" s="4"/>
      <c r="O18" s="4" t="s">
        <v>12</v>
      </c>
      <c r="P18" s="4" t="s">
        <v>13</v>
      </c>
      <c r="Q18" s="4" t="s">
        <v>14</v>
      </c>
      <c r="R18" s="4" t="s">
        <v>15</v>
      </c>
      <c r="S18" s="4" t="s">
        <v>16</v>
      </c>
      <c r="W18" s="25"/>
      <c r="X18" s="25"/>
      <c r="Y18" s="25"/>
      <c r="Z18" s="25"/>
    </row>
    <row r="19" spans="1:26" x14ac:dyDescent="0.3">
      <c r="A19" s="11" t="s">
        <v>64</v>
      </c>
      <c r="B19" s="11">
        <v>-64123.548547999999</v>
      </c>
      <c r="C19" s="11">
        <f>B19-$B$3-5*$R$4</f>
        <v>-3.8826644999976168</v>
      </c>
      <c r="D19" s="11">
        <v>0.1120579999915261</v>
      </c>
      <c r="E19" s="19">
        <v>0</v>
      </c>
      <c r="F19" s="11">
        <v>2</v>
      </c>
      <c r="G19" s="11">
        <v>2</v>
      </c>
      <c r="H19" s="11">
        <v>4</v>
      </c>
      <c r="I19" s="19">
        <v>0</v>
      </c>
      <c r="J19" s="19">
        <v>0</v>
      </c>
      <c r="K19" s="19">
        <v>0</v>
      </c>
      <c r="N19" s="2" t="s">
        <v>8</v>
      </c>
      <c r="O19" s="2">
        <v>3</v>
      </c>
      <c r="P19" s="2">
        <v>4.4506315423916529</v>
      </c>
      <c r="Q19" s="2">
        <v>1.4835438474638842</v>
      </c>
      <c r="R19" s="2">
        <v>4299.9038345086801</v>
      </c>
      <c r="S19" s="2">
        <v>9.1176696590840627E-42</v>
      </c>
      <c r="W19" s="2"/>
      <c r="X19" s="25"/>
      <c r="Y19" s="25"/>
      <c r="Z19" s="25"/>
    </row>
    <row r="20" spans="1:26" x14ac:dyDescent="0.3">
      <c r="A20" s="11" t="s">
        <v>69</v>
      </c>
      <c r="B20" s="11">
        <v>-64123.533239999997</v>
      </c>
      <c r="C20" s="11">
        <f>B20-$B$3-5*$R$4</f>
        <v>-3.8673564999957932</v>
      </c>
      <c r="D20" s="11">
        <v>0.12736599999334963</v>
      </c>
      <c r="E20" s="19">
        <v>0</v>
      </c>
      <c r="F20" s="11">
        <v>3</v>
      </c>
      <c r="G20" s="11">
        <v>2</v>
      </c>
      <c r="H20" s="11">
        <v>3</v>
      </c>
      <c r="I20" s="19">
        <v>1</v>
      </c>
      <c r="J20" s="19">
        <v>0</v>
      </c>
      <c r="K20" s="19">
        <v>0</v>
      </c>
      <c r="N20" s="2" t="s">
        <v>9</v>
      </c>
      <c r="O20" s="2">
        <v>33</v>
      </c>
      <c r="P20" s="2">
        <v>1.1385591131924035E-2</v>
      </c>
      <c r="Q20" s="2">
        <v>3.4501791308860709E-4</v>
      </c>
      <c r="R20" s="2"/>
      <c r="S20" s="2"/>
      <c r="W20" s="2"/>
      <c r="X20" s="25"/>
      <c r="Y20" s="25"/>
      <c r="Z20" s="25"/>
    </row>
    <row r="21" spans="1:26" ht="15" thickBot="1" x14ac:dyDescent="0.35">
      <c r="A21" s="11" t="s">
        <v>70</v>
      </c>
      <c r="B21" s="11">
        <v>-64123.557480000003</v>
      </c>
      <c r="C21" s="11">
        <f>B21-$B$3-5*$R$4</f>
        <v>-3.8915965000018957</v>
      </c>
      <c r="D21" s="11">
        <v>0.10312599998724714</v>
      </c>
      <c r="E21" s="19">
        <v>0</v>
      </c>
      <c r="F21" s="11">
        <v>2</v>
      </c>
      <c r="G21" s="11">
        <v>1</v>
      </c>
      <c r="H21" s="11">
        <v>4</v>
      </c>
      <c r="I21" s="19">
        <v>1</v>
      </c>
      <c r="J21" s="19">
        <v>1</v>
      </c>
      <c r="K21" s="19">
        <v>0</v>
      </c>
      <c r="N21" s="3" t="s">
        <v>10</v>
      </c>
      <c r="O21" s="3">
        <v>36</v>
      </c>
      <c r="P21" s="3">
        <v>4.4620171335235765</v>
      </c>
      <c r="Q21" s="3"/>
      <c r="R21" s="3"/>
      <c r="S21" s="3"/>
      <c r="W21" s="2"/>
      <c r="X21" s="25"/>
      <c r="Y21" s="25"/>
      <c r="Z21" s="25"/>
    </row>
    <row r="22" spans="1:26" ht="15" thickBot="1" x14ac:dyDescent="0.35">
      <c r="A22" s="11" t="s">
        <v>71</v>
      </c>
      <c r="B22" s="11">
        <v>-64140.104765999997</v>
      </c>
      <c r="C22" s="11">
        <f>B22-$B$3-6*$R$4</f>
        <v>-4.6282219999955174</v>
      </c>
      <c r="D22" s="11">
        <v>0.16544499999145401</v>
      </c>
      <c r="E22" s="19">
        <v>0</v>
      </c>
      <c r="F22" s="11">
        <v>6</v>
      </c>
      <c r="G22" s="11">
        <v>0</v>
      </c>
      <c r="H22" s="11">
        <v>0</v>
      </c>
      <c r="I22" s="19">
        <v>6</v>
      </c>
      <c r="J22" s="19">
        <v>0</v>
      </c>
      <c r="K22" s="19">
        <v>0</v>
      </c>
      <c r="W22" s="2"/>
      <c r="X22" s="25"/>
      <c r="Y22" s="25"/>
      <c r="Z22" s="25"/>
    </row>
    <row r="23" spans="1:26" x14ac:dyDescent="0.3">
      <c r="A23" s="11" t="s">
        <v>72</v>
      </c>
      <c r="B23" s="11">
        <v>-64140.140529999997</v>
      </c>
      <c r="C23" s="11">
        <f>B23-$B$3-6*$R$4</f>
        <v>-4.6639859999957167</v>
      </c>
      <c r="D23" s="11">
        <v>0.12968099999125471</v>
      </c>
      <c r="E23" s="19">
        <v>0</v>
      </c>
      <c r="F23" s="11">
        <v>1</v>
      </c>
      <c r="G23" s="11">
        <v>2</v>
      </c>
      <c r="H23" s="11">
        <v>6</v>
      </c>
      <c r="I23" s="19">
        <v>2</v>
      </c>
      <c r="J23" s="19">
        <v>2</v>
      </c>
      <c r="K23" s="19">
        <v>0</v>
      </c>
      <c r="N23" s="4"/>
      <c r="O23" s="4" t="s">
        <v>17</v>
      </c>
      <c r="P23" s="4" t="s">
        <v>5</v>
      </c>
      <c r="Q23" s="4" t="s">
        <v>18</v>
      </c>
      <c r="R23" s="4" t="s">
        <v>19</v>
      </c>
      <c r="S23" s="4" t="s">
        <v>20</v>
      </c>
      <c r="T23" s="4" t="s">
        <v>21</v>
      </c>
      <c r="U23" s="4" t="s">
        <v>22</v>
      </c>
      <c r="V23" s="4" t="s">
        <v>23</v>
      </c>
      <c r="W23" s="25"/>
      <c r="X23" s="25"/>
      <c r="Y23" s="25"/>
      <c r="Z23" s="25"/>
    </row>
    <row r="24" spans="1:26" x14ac:dyDescent="0.3">
      <c r="A24" s="11" t="s">
        <v>73</v>
      </c>
      <c r="B24" s="11">
        <v>-64140.175926000004</v>
      </c>
      <c r="C24" s="11">
        <f>B24-$B$3-6*$R$4</f>
        <v>-4.6993820000023021</v>
      </c>
      <c r="D24" s="11">
        <v>9.4284999984669327E-2</v>
      </c>
      <c r="E24" s="19">
        <v>0</v>
      </c>
      <c r="F24" s="11">
        <v>0</v>
      </c>
      <c r="G24" s="11">
        <v>0</v>
      </c>
      <c r="H24" s="11">
        <v>9</v>
      </c>
      <c r="I24" s="19">
        <v>3</v>
      </c>
      <c r="J24" s="19">
        <v>3</v>
      </c>
      <c r="K24" s="19">
        <v>0</v>
      </c>
      <c r="N24" s="2" t="s">
        <v>11</v>
      </c>
      <c r="O24" s="2">
        <v>0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5"/>
      <c r="X24" s="25"/>
      <c r="Y24" s="25"/>
      <c r="Z24" s="25"/>
    </row>
    <row r="25" spans="1:26" x14ac:dyDescent="0.3">
      <c r="A25" s="11" t="s">
        <v>74</v>
      </c>
      <c r="B25" s="11">
        <v>-64140.092383000003</v>
      </c>
      <c r="C25" s="11">
        <f>B25-$B$3-6*$R$4</f>
        <v>-4.6158390000016567</v>
      </c>
      <c r="D25" s="11">
        <v>0.17782799998531473</v>
      </c>
      <c r="E25" s="19">
        <v>0</v>
      </c>
      <c r="F25" s="11">
        <v>3</v>
      </c>
      <c r="G25" s="11">
        <v>3</v>
      </c>
      <c r="H25" s="11">
        <v>6</v>
      </c>
      <c r="I25" s="19">
        <v>0</v>
      </c>
      <c r="J25" s="19">
        <v>0</v>
      </c>
      <c r="K25" s="19">
        <v>0</v>
      </c>
      <c r="N25" s="2" t="s">
        <v>24</v>
      </c>
      <c r="O25" s="22">
        <v>2.8120889633137362E-2</v>
      </c>
      <c r="P25" s="2">
        <v>2.1045257139808071E-3</v>
      </c>
      <c r="Q25" s="2">
        <v>13.362103131515275</v>
      </c>
      <c r="R25" s="2">
        <v>7.2487384226322385E-15</v>
      </c>
      <c r="S25" s="2">
        <v>2.3839199874167917E-2</v>
      </c>
      <c r="T25" s="2">
        <v>3.2402579392106806E-2</v>
      </c>
      <c r="U25" s="2">
        <v>2.3839199874167917E-2</v>
      </c>
      <c r="V25" s="2">
        <v>3.2402579392106806E-2</v>
      </c>
      <c r="W25" s="25"/>
      <c r="X25" s="25"/>
      <c r="Y25" s="25"/>
      <c r="Z25" s="25"/>
    </row>
    <row r="26" spans="1:26" x14ac:dyDescent="0.3">
      <c r="A26" s="11" t="s">
        <v>75</v>
      </c>
      <c r="B26" s="11">
        <v>-64140.100874000003</v>
      </c>
      <c r="C26" s="11">
        <f>B26-$B$3-6*$R$4</f>
        <v>-4.6243300000021605</v>
      </c>
      <c r="D26" s="11">
        <v>0.16933699998481089</v>
      </c>
      <c r="E26" s="19">
        <v>0</v>
      </c>
      <c r="F26" s="11">
        <v>3</v>
      </c>
      <c r="G26" s="11">
        <v>3</v>
      </c>
      <c r="H26" s="11">
        <v>5</v>
      </c>
      <c r="I26" s="19">
        <v>1</v>
      </c>
      <c r="J26" s="19">
        <v>1</v>
      </c>
      <c r="K26" s="19">
        <v>0</v>
      </c>
      <c r="N26" s="2" t="s">
        <v>25</v>
      </c>
      <c r="O26" s="22">
        <v>6.7904362211285343E-3</v>
      </c>
      <c r="P26" s="2">
        <v>3.6939986252361359E-3</v>
      </c>
      <c r="Q26" s="2">
        <v>1.8382346367804783</v>
      </c>
      <c r="R26" s="2">
        <v>7.5043802043391408E-2</v>
      </c>
      <c r="S26" s="2">
        <v>-7.2506049067121419E-4</v>
      </c>
      <c r="T26" s="2">
        <v>1.4305932932928284E-2</v>
      </c>
      <c r="U26" s="2">
        <v>-7.2506049067121419E-4</v>
      </c>
      <c r="V26" s="2">
        <v>1.4305932932928284E-2</v>
      </c>
      <c r="W26" s="25"/>
      <c r="X26" s="25"/>
      <c r="Y26" s="25"/>
      <c r="Z26" s="25"/>
    </row>
    <row r="27" spans="1:26" ht="15" thickBot="1" x14ac:dyDescent="0.35">
      <c r="A27" s="11" t="s">
        <v>76</v>
      </c>
      <c r="B27" s="11">
        <v>-64156.680456000002</v>
      </c>
      <c r="C27" s="11">
        <f>B27-$B$3-7*$R$4</f>
        <v>-5.3932515000006447</v>
      </c>
      <c r="D27" s="11">
        <v>0.19935999998415532</v>
      </c>
      <c r="E27" s="19">
        <v>0</v>
      </c>
      <c r="F27" s="11">
        <v>6</v>
      </c>
      <c r="G27" s="11">
        <v>1</v>
      </c>
      <c r="H27" s="11">
        <v>2</v>
      </c>
      <c r="I27" s="19">
        <v>6</v>
      </c>
      <c r="J27" s="19">
        <v>1</v>
      </c>
      <c r="K27" s="19">
        <v>0</v>
      </c>
      <c r="N27" s="3" t="s">
        <v>26</v>
      </c>
      <c r="O27" s="23">
        <v>9.6280460568118793E-3</v>
      </c>
      <c r="P27" s="3">
        <v>1.5061029464437732E-3</v>
      </c>
      <c r="Q27" s="3">
        <v>6.392687883352016</v>
      </c>
      <c r="R27" s="3">
        <v>3.0514487594376797E-7</v>
      </c>
      <c r="S27" s="3">
        <v>6.5638565727384988E-3</v>
      </c>
      <c r="T27" s="3">
        <v>1.269223554088526E-2</v>
      </c>
      <c r="U27" s="3">
        <v>6.5638565727384988E-3</v>
      </c>
      <c r="V27" s="3">
        <v>1.269223554088526E-2</v>
      </c>
      <c r="W27" s="25"/>
      <c r="X27" s="25"/>
      <c r="Y27" s="25"/>
      <c r="Z27" s="25"/>
    </row>
    <row r="28" spans="1:26" x14ac:dyDescent="0.3">
      <c r="A28" s="11" t="s">
        <v>77</v>
      </c>
      <c r="B28" s="11">
        <v>-64156.692351999998</v>
      </c>
      <c r="C28" s="11">
        <f>B28-$B$3-7*$R$4</f>
        <v>-5.4051474999969855</v>
      </c>
      <c r="D28" s="11">
        <v>0.18746399998781449</v>
      </c>
      <c r="E28" s="19">
        <v>0</v>
      </c>
      <c r="F28" s="11">
        <v>2</v>
      </c>
      <c r="G28" s="11">
        <v>3</v>
      </c>
      <c r="H28" s="11">
        <v>7</v>
      </c>
      <c r="I28" s="19">
        <v>2</v>
      </c>
      <c r="J28" s="19">
        <v>2</v>
      </c>
      <c r="K28" s="19">
        <v>0</v>
      </c>
      <c r="W28" s="25"/>
      <c r="X28" s="25"/>
      <c r="Y28" s="25"/>
      <c r="Z28" s="25"/>
    </row>
    <row r="29" spans="1:26" x14ac:dyDescent="0.3">
      <c r="A29" s="11" t="s">
        <v>78</v>
      </c>
      <c r="B29" s="11">
        <v>-64156.644838</v>
      </c>
      <c r="C29" s="11">
        <f>B29-$B$3-7*$R$4</f>
        <v>-5.3576334999989399</v>
      </c>
      <c r="D29" s="11">
        <v>0.23497799998586011</v>
      </c>
      <c r="E29" s="19">
        <v>0</v>
      </c>
      <c r="F29" s="11">
        <v>4</v>
      </c>
      <c r="G29" s="11">
        <v>4</v>
      </c>
      <c r="H29" s="11">
        <v>7</v>
      </c>
      <c r="I29" s="19">
        <v>1</v>
      </c>
      <c r="J29" s="19">
        <v>1</v>
      </c>
      <c r="K29" s="19">
        <v>0</v>
      </c>
      <c r="W29" s="25"/>
      <c r="X29" s="25"/>
      <c r="Y29" s="25"/>
      <c r="Z29" s="25"/>
    </row>
    <row r="30" spans="1:26" x14ac:dyDescent="0.3">
      <c r="A30" s="11" t="s">
        <v>79</v>
      </c>
      <c r="B30" s="11">
        <v>-64173.216370000002</v>
      </c>
      <c r="C30" s="11">
        <f>B30-$B$3-8*$R$4</f>
        <v>-6.1185050000006953</v>
      </c>
      <c r="D30" s="11">
        <v>0.27305099998193327</v>
      </c>
      <c r="E30" s="19">
        <v>0</v>
      </c>
      <c r="F30" s="11">
        <v>5</v>
      </c>
      <c r="G30" s="11">
        <v>4</v>
      </c>
      <c r="H30" s="11">
        <v>8</v>
      </c>
      <c r="I30" s="19">
        <v>2</v>
      </c>
      <c r="J30" s="19">
        <v>2</v>
      </c>
      <c r="K30" s="19">
        <v>0</v>
      </c>
      <c r="W30" s="25"/>
      <c r="X30" s="25"/>
      <c r="Y30" s="25"/>
      <c r="Z30" s="25"/>
    </row>
    <row r="31" spans="1:26" x14ac:dyDescent="0.3">
      <c r="A31" s="11" t="s">
        <v>80</v>
      </c>
      <c r="B31" s="11">
        <v>-64189.759487000003</v>
      </c>
      <c r="C31" s="11">
        <f>B31-$B$3-9*$R$4</f>
        <v>-6.8509615000017732</v>
      </c>
      <c r="D31" s="11">
        <v>0.33953899997868398</v>
      </c>
      <c r="E31" s="19">
        <v>0</v>
      </c>
      <c r="F31" s="11">
        <v>6</v>
      </c>
      <c r="G31" s="11">
        <v>6</v>
      </c>
      <c r="H31" s="11">
        <v>10</v>
      </c>
      <c r="I31" s="19">
        <v>3</v>
      </c>
      <c r="J31" s="19">
        <v>3</v>
      </c>
      <c r="K31" s="19">
        <v>0</v>
      </c>
      <c r="N31" s="15"/>
      <c r="O31" s="15"/>
      <c r="P31" s="15"/>
      <c r="Q31" s="15"/>
      <c r="R31" s="15"/>
      <c r="S31" s="15"/>
      <c r="T31" s="15"/>
      <c r="U31" s="15"/>
      <c r="V31" s="15"/>
      <c r="W31" s="25"/>
      <c r="X31" s="25"/>
      <c r="Y31" s="25"/>
      <c r="Z31" s="25"/>
    </row>
    <row r="32" spans="1:26" x14ac:dyDescent="0.3">
      <c r="A32" s="11" t="s">
        <v>81</v>
      </c>
      <c r="B32" s="11">
        <v>-64206.330829999999</v>
      </c>
      <c r="C32" s="11">
        <f>B32-$B$3-10*$R$4</f>
        <v>-7.6116439999977388</v>
      </c>
      <c r="D32" s="11">
        <v>0.37780099998054695</v>
      </c>
      <c r="E32" s="19">
        <v>0</v>
      </c>
      <c r="F32" s="11">
        <v>7</v>
      </c>
      <c r="G32" s="11">
        <v>6</v>
      </c>
      <c r="H32" s="11">
        <v>12</v>
      </c>
      <c r="I32" s="19">
        <v>4</v>
      </c>
      <c r="J32" s="19">
        <v>4</v>
      </c>
      <c r="K32" s="19">
        <v>0</v>
      </c>
      <c r="N32" s="15"/>
      <c r="O32" s="15"/>
      <c r="P32" s="15"/>
      <c r="Q32" s="15"/>
      <c r="R32" s="15"/>
      <c r="S32" s="15"/>
      <c r="T32" s="15"/>
      <c r="U32" s="15"/>
      <c r="V32" s="15"/>
      <c r="W32" s="25"/>
      <c r="X32" s="25"/>
      <c r="Y32" s="25"/>
      <c r="Z32" s="25"/>
    </row>
    <row r="33" spans="1:26" x14ac:dyDescent="0.3">
      <c r="A33" s="11" t="s">
        <v>82</v>
      </c>
      <c r="B33" s="11">
        <v>-64222.867629</v>
      </c>
      <c r="C33" s="11">
        <f>B33-$B$3-11*$R$4</f>
        <v>-8.3377824999990935</v>
      </c>
      <c r="D33" s="11">
        <v>0.45060699997702081</v>
      </c>
      <c r="E33" s="19">
        <v>0</v>
      </c>
      <c r="F33" s="11">
        <v>8</v>
      </c>
      <c r="G33" s="11">
        <v>8</v>
      </c>
      <c r="H33" s="11">
        <v>15</v>
      </c>
      <c r="I33" s="19">
        <v>5</v>
      </c>
      <c r="J33" s="19">
        <v>5</v>
      </c>
      <c r="K33" s="19">
        <v>0</v>
      </c>
      <c r="N33" s="15"/>
      <c r="O33" s="15"/>
      <c r="P33" s="15"/>
      <c r="Q33" s="15"/>
      <c r="R33" s="15"/>
      <c r="S33" s="15"/>
      <c r="T33" s="15"/>
      <c r="U33" s="15"/>
      <c r="V33" s="15"/>
      <c r="W33" s="25"/>
      <c r="X33" s="25"/>
      <c r="Y33" s="25"/>
      <c r="Z33" s="25"/>
    </row>
    <row r="34" spans="1:26" x14ac:dyDescent="0.3">
      <c r="A34" s="11" t="s">
        <v>83</v>
      </c>
      <c r="B34" s="11">
        <v>-64239.428451</v>
      </c>
      <c r="C34" s="11">
        <f>B34-$B$3-12*$R$4</f>
        <v>-9.0879439999985436</v>
      </c>
      <c r="D34" s="11">
        <v>0.49938999997539923</v>
      </c>
      <c r="E34" s="19">
        <v>0</v>
      </c>
      <c r="F34" s="11">
        <v>9</v>
      </c>
      <c r="G34" s="11">
        <v>9</v>
      </c>
      <c r="H34" s="11">
        <v>18</v>
      </c>
      <c r="I34" s="19">
        <v>6</v>
      </c>
      <c r="J34" s="19">
        <v>6</v>
      </c>
      <c r="K34" s="19">
        <v>0</v>
      </c>
      <c r="N34" s="15"/>
      <c r="O34" s="15"/>
      <c r="P34" s="15"/>
      <c r="Q34" s="15"/>
      <c r="R34" s="15"/>
      <c r="S34" s="15"/>
      <c r="T34" s="15"/>
      <c r="U34" s="15"/>
      <c r="V34" s="15"/>
      <c r="W34" s="25"/>
      <c r="X34" s="25"/>
      <c r="Y34" s="25"/>
      <c r="Z34" s="25"/>
    </row>
    <row r="35" spans="1:26" x14ac:dyDescent="0.3">
      <c r="A35" s="11" t="s">
        <v>84</v>
      </c>
      <c r="B35" s="11">
        <v>-64255.982251000001</v>
      </c>
      <c r="C35" s="11">
        <f>B35-$B$3-13*$R$4</f>
        <v>-9.8310835000000623</v>
      </c>
      <c r="D35" s="11">
        <v>0.55519499997170918</v>
      </c>
      <c r="E35" s="19">
        <v>0</v>
      </c>
      <c r="F35" s="11">
        <v>10</v>
      </c>
      <c r="G35" s="11">
        <v>10</v>
      </c>
      <c r="H35" s="11">
        <v>20</v>
      </c>
      <c r="I35" s="19">
        <v>8</v>
      </c>
      <c r="J35" s="19">
        <v>8</v>
      </c>
      <c r="K35" s="19">
        <v>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11" t="s">
        <v>85</v>
      </c>
      <c r="B36" s="11">
        <v>-64272.532045</v>
      </c>
      <c r="C36" s="11">
        <f>B36-$B$3-14*$R$4</f>
        <v>-10.570216999998706</v>
      </c>
      <c r="D36" s="11">
        <v>0.61500599997089367</v>
      </c>
      <c r="E36" s="19">
        <v>0</v>
      </c>
      <c r="F36" s="11">
        <v>12</v>
      </c>
      <c r="G36" s="11">
        <v>11</v>
      </c>
      <c r="H36" s="11">
        <v>22</v>
      </c>
      <c r="I36" s="19">
        <v>10</v>
      </c>
      <c r="J36" s="19">
        <v>10</v>
      </c>
      <c r="K36" s="19">
        <v>0</v>
      </c>
      <c r="N36" s="24"/>
      <c r="O36" s="24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11" t="s">
        <v>86</v>
      </c>
      <c r="B37" s="11">
        <v>-64289.054872000001</v>
      </c>
      <c r="C37" s="11">
        <f>B37-$B$3-15*$R$4</f>
        <v>-11.282383499999412</v>
      </c>
      <c r="D37" s="11">
        <v>0.70178399996801666</v>
      </c>
      <c r="E37" s="19">
        <v>0</v>
      </c>
      <c r="F37" s="11">
        <v>13</v>
      </c>
      <c r="G37" s="11">
        <v>13</v>
      </c>
      <c r="H37" s="11">
        <v>25</v>
      </c>
      <c r="I37" s="19">
        <v>12</v>
      </c>
      <c r="J37" s="19">
        <v>12</v>
      </c>
      <c r="K37" s="19">
        <v>0</v>
      </c>
      <c r="N37" s="2"/>
      <c r="O37" s="2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11" t="s">
        <v>87</v>
      </c>
      <c r="B38" s="11">
        <v>-64305.607302999997</v>
      </c>
      <c r="C38" s="11">
        <f>B38-$B$3-16*$R$4</f>
        <v>-12.024153999995832</v>
      </c>
      <c r="D38" s="11">
        <v>0.75895799996942515</v>
      </c>
      <c r="E38" s="19">
        <v>0</v>
      </c>
      <c r="F38" s="11">
        <v>15</v>
      </c>
      <c r="G38" s="11">
        <v>14</v>
      </c>
      <c r="H38" s="11">
        <v>28</v>
      </c>
      <c r="I38" s="19">
        <v>14</v>
      </c>
      <c r="J38" s="19">
        <v>14</v>
      </c>
      <c r="K38" s="19">
        <v>0</v>
      </c>
      <c r="N38" s="2"/>
      <c r="O38" s="2"/>
      <c r="P38" s="25"/>
      <c r="Q38" s="25"/>
      <c r="R38" s="25"/>
      <c r="S38" s="25"/>
      <c r="T38" s="25"/>
      <c r="U38" s="25"/>
      <c r="V38" s="25"/>
      <c r="W38" s="16"/>
      <c r="X38" s="25"/>
      <c r="Y38" s="25"/>
      <c r="Z38" s="25"/>
    </row>
    <row r="39" spans="1:26" x14ac:dyDescent="0.3">
      <c r="A39" s="11" t="s">
        <v>88</v>
      </c>
      <c r="B39" s="11">
        <v>-64322.127703999999</v>
      </c>
      <c r="C39" s="11">
        <f>B39-$B$3-17*$R$4</f>
        <v>-12.733894499997405</v>
      </c>
      <c r="D39" s="11">
        <v>0.84816199996568109</v>
      </c>
      <c r="E39" s="19">
        <v>0</v>
      </c>
      <c r="F39" s="11">
        <v>16</v>
      </c>
      <c r="G39" s="11">
        <v>16</v>
      </c>
      <c r="H39" s="11">
        <v>32</v>
      </c>
      <c r="I39" s="19">
        <v>16</v>
      </c>
      <c r="J39" s="19">
        <v>16</v>
      </c>
      <c r="K39" s="19">
        <v>0</v>
      </c>
      <c r="N39" s="2"/>
      <c r="O39" s="2"/>
      <c r="P39" s="25"/>
      <c r="Q39" s="25"/>
      <c r="R39" s="25"/>
      <c r="S39" s="25"/>
      <c r="T39" s="25"/>
      <c r="U39" s="25"/>
      <c r="V39" s="25"/>
      <c r="W39" s="2"/>
      <c r="X39" s="25"/>
      <c r="Y39" s="25"/>
      <c r="Z39" s="25"/>
    </row>
    <row r="40" spans="1:26" x14ac:dyDescent="0.3">
      <c r="A40" s="11" t="s">
        <v>89</v>
      </c>
      <c r="B40" s="11">
        <v>-64338.647261999999</v>
      </c>
      <c r="C40" s="11">
        <f>B40-$B$3-18*$R$4</f>
        <v>-13.442791999997382</v>
      </c>
      <c r="D40" s="11">
        <v>0.93820899996353191</v>
      </c>
      <c r="E40" s="19">
        <v>0</v>
      </c>
      <c r="F40" s="11">
        <v>18</v>
      </c>
      <c r="G40" s="11">
        <v>18</v>
      </c>
      <c r="H40" s="11">
        <v>36</v>
      </c>
      <c r="I40" s="19">
        <v>18</v>
      </c>
      <c r="J40" s="19">
        <v>18</v>
      </c>
      <c r="K40" s="19">
        <v>0</v>
      </c>
      <c r="N40" s="2"/>
      <c r="O40" s="2"/>
      <c r="P40" s="25"/>
      <c r="Q40" s="25"/>
      <c r="R40" s="25"/>
      <c r="S40" s="25"/>
      <c r="T40" s="25"/>
      <c r="U40" s="25"/>
      <c r="V40" s="25"/>
      <c r="W40" s="2"/>
      <c r="X40" s="25"/>
      <c r="Y40" s="25"/>
      <c r="Z40" s="25"/>
    </row>
    <row r="41" spans="1:26" ht="15.6" x14ac:dyDescent="0.3">
      <c r="A41" s="19" t="s">
        <v>31</v>
      </c>
      <c r="B41" s="19">
        <v>-64073.78368</v>
      </c>
      <c r="C41" s="19">
        <v>-1.5497779999992325</v>
      </c>
      <c r="D41" s="19">
        <v>4.8110999996424653E-2</v>
      </c>
      <c r="E41" s="18">
        <v>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N41" s="2"/>
      <c r="O41" s="2"/>
      <c r="P41" s="25"/>
      <c r="Q41" s="25"/>
      <c r="R41" s="25"/>
      <c r="S41" s="25"/>
      <c r="T41" s="25"/>
      <c r="U41" s="25"/>
      <c r="V41" s="25"/>
      <c r="W41" s="2"/>
      <c r="X41" s="25"/>
      <c r="Y41" s="25"/>
      <c r="Z41" s="25"/>
    </row>
    <row r="42" spans="1:26" x14ac:dyDescent="0.3">
      <c r="A42" s="19" t="s">
        <v>47</v>
      </c>
      <c r="B42" s="19">
        <v>-64090.298674999998</v>
      </c>
      <c r="C42" s="19">
        <v>-2.2541124999969568</v>
      </c>
      <c r="D42" s="19">
        <v>0.14272099999652887</v>
      </c>
      <c r="E42" s="19">
        <v>2</v>
      </c>
      <c r="F42" s="19">
        <v>0</v>
      </c>
      <c r="G42" s="19">
        <v>0</v>
      </c>
      <c r="H42" s="19">
        <v>1</v>
      </c>
      <c r="I42" s="19">
        <v>0</v>
      </c>
      <c r="J42" s="19">
        <v>0</v>
      </c>
      <c r="K42" s="19">
        <v>0</v>
      </c>
      <c r="N42" s="25"/>
      <c r="O42" s="25"/>
      <c r="P42" s="25"/>
      <c r="Q42" s="25"/>
      <c r="R42" s="25"/>
      <c r="S42" s="25"/>
      <c r="T42" s="25"/>
      <c r="U42" s="25"/>
      <c r="V42" s="25"/>
      <c r="W42" s="2"/>
      <c r="X42" s="25"/>
      <c r="Y42" s="25"/>
      <c r="Z42" s="25"/>
    </row>
    <row r="43" spans="1:26" x14ac:dyDescent="0.3">
      <c r="A43" s="19" t="s">
        <v>48</v>
      </c>
      <c r="B43" s="19">
        <v>-64090.375950000001</v>
      </c>
      <c r="C43" s="19">
        <f>B43-$B$3-3*$R$4</f>
        <v>-2.3313875000002398</v>
      </c>
      <c r="D43" s="19">
        <v>6.5445999993245962E-2</v>
      </c>
      <c r="E43" s="19">
        <v>1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1</v>
      </c>
      <c r="N43" s="25"/>
      <c r="O43" s="25"/>
      <c r="P43" s="25"/>
      <c r="Q43" s="25"/>
      <c r="R43" s="25"/>
      <c r="S43" s="25"/>
      <c r="T43" s="25"/>
      <c r="U43" s="25"/>
      <c r="V43" s="25"/>
      <c r="W43" s="2"/>
      <c r="X43" s="25"/>
      <c r="Y43" s="25"/>
      <c r="Z43" s="25"/>
    </row>
    <row r="44" spans="1:26" x14ac:dyDescent="0.3">
      <c r="A44" s="19" t="s">
        <v>54</v>
      </c>
      <c r="B44" s="19">
        <v>-64106.916719000001</v>
      </c>
      <c r="C44" s="19">
        <f>B44-$B$3-4*$R$4</f>
        <v>-3.061495999999515</v>
      </c>
      <c r="D44" s="19">
        <v>0.13428199999179924</v>
      </c>
      <c r="E44" s="19">
        <v>2</v>
      </c>
      <c r="F44" s="19">
        <v>1</v>
      </c>
      <c r="G44" s="19">
        <v>1</v>
      </c>
      <c r="H44" s="19">
        <v>1</v>
      </c>
      <c r="I44" s="19">
        <v>0</v>
      </c>
      <c r="J44" s="19">
        <v>0</v>
      </c>
      <c r="K44" s="19">
        <v>1</v>
      </c>
      <c r="N44" s="16"/>
      <c r="O44" s="16"/>
      <c r="P44" s="16"/>
      <c r="Q44" s="16"/>
      <c r="R44" s="16"/>
      <c r="S44" s="16"/>
      <c r="T44" s="25"/>
      <c r="U44" s="25"/>
      <c r="V44" s="25"/>
      <c r="W44" s="25"/>
      <c r="X44" s="25"/>
      <c r="Y44" s="25"/>
      <c r="Z44" s="25"/>
    </row>
    <row r="45" spans="1:26" x14ac:dyDescent="0.3">
      <c r="A45" s="19" t="s">
        <v>56</v>
      </c>
      <c r="B45" s="19">
        <v>-64106.815552</v>
      </c>
      <c r="C45" s="19">
        <f>B45-$B$3-4*$R$4</f>
        <v>-2.9603289999988007</v>
      </c>
      <c r="D45" s="19">
        <v>0.23544899999251356</v>
      </c>
      <c r="E45" s="19">
        <v>3</v>
      </c>
      <c r="F45" s="19">
        <v>1</v>
      </c>
      <c r="G45" s="19">
        <v>1</v>
      </c>
      <c r="H45" s="19">
        <v>1</v>
      </c>
      <c r="I45" s="19">
        <v>0</v>
      </c>
      <c r="J45" s="19">
        <v>0</v>
      </c>
      <c r="K45" s="19">
        <v>0</v>
      </c>
      <c r="N45" s="2"/>
      <c r="O45" s="2"/>
      <c r="P45" s="2"/>
      <c r="Q45" s="2"/>
      <c r="R45" s="2"/>
      <c r="S45" s="2"/>
      <c r="T45" s="25"/>
      <c r="U45" s="25"/>
      <c r="V45" s="25"/>
      <c r="W45" s="25"/>
      <c r="X45" s="25"/>
      <c r="Y45" s="25"/>
      <c r="Z45" s="25"/>
    </row>
    <row r="46" spans="1:26" x14ac:dyDescent="0.3">
      <c r="A46" s="19" t="s">
        <v>58</v>
      </c>
      <c r="B46" s="19">
        <v>-64106.872261999997</v>
      </c>
      <c r="C46" s="19">
        <f>B46-$B$3-4*$R$4</f>
        <v>-3.0170389999959113</v>
      </c>
      <c r="D46" s="19">
        <v>0.17873899999540299</v>
      </c>
      <c r="E46" s="19">
        <v>2</v>
      </c>
      <c r="F46" s="19">
        <v>1</v>
      </c>
      <c r="G46" s="19">
        <v>0</v>
      </c>
      <c r="H46" s="19">
        <v>1</v>
      </c>
      <c r="I46" s="19">
        <v>0</v>
      </c>
      <c r="J46" s="19">
        <v>0</v>
      </c>
      <c r="K46" s="19">
        <v>1</v>
      </c>
      <c r="N46" s="2"/>
      <c r="O46" s="2"/>
      <c r="P46" s="2"/>
      <c r="Q46" s="2"/>
      <c r="R46" s="2"/>
      <c r="S46" s="2"/>
      <c r="T46" s="25"/>
      <c r="U46" s="25"/>
      <c r="V46" s="25"/>
      <c r="W46" s="25"/>
      <c r="X46" s="25"/>
      <c r="Y46" s="25"/>
      <c r="Z46" s="25"/>
    </row>
    <row r="47" spans="1:26" x14ac:dyDescent="0.3">
      <c r="A47" s="19" t="s">
        <v>60</v>
      </c>
      <c r="B47" s="19">
        <v>-64106.950879000004</v>
      </c>
      <c r="C47" s="19">
        <f>B47-$B$3-4*$R$4</f>
        <v>-3.0956560000023998</v>
      </c>
      <c r="D47" s="19">
        <v>0.10012199998891447</v>
      </c>
      <c r="E47" s="19">
        <v>1</v>
      </c>
      <c r="F47" s="19">
        <v>0</v>
      </c>
      <c r="G47" s="19">
        <v>1</v>
      </c>
      <c r="H47" s="19">
        <v>0</v>
      </c>
      <c r="I47" s="19">
        <v>1</v>
      </c>
      <c r="J47" s="19">
        <v>0</v>
      </c>
      <c r="K47" s="19">
        <v>2</v>
      </c>
      <c r="N47" s="2"/>
      <c r="O47" s="2"/>
      <c r="P47" s="2"/>
      <c r="Q47" s="2"/>
      <c r="R47" s="2"/>
      <c r="S47" s="2"/>
      <c r="T47" s="25"/>
      <c r="U47" s="25"/>
      <c r="V47" s="25"/>
      <c r="W47" s="25"/>
      <c r="X47" s="25"/>
      <c r="Y47" s="25"/>
      <c r="Z47" s="25"/>
    </row>
    <row r="48" spans="1:26" x14ac:dyDescent="0.3">
      <c r="A48" s="19" t="s">
        <v>61</v>
      </c>
      <c r="B48" s="19">
        <v>-64106.961837000003</v>
      </c>
      <c r="C48" s="19">
        <f>B48-$B$3-4*$R$4</f>
        <v>-3.1066140000013363</v>
      </c>
      <c r="D48" s="19">
        <v>8.9163999989978038E-2</v>
      </c>
      <c r="E48" s="19">
        <v>1</v>
      </c>
      <c r="F48" s="19">
        <v>0</v>
      </c>
      <c r="G48" s="19">
        <v>0</v>
      </c>
      <c r="H48" s="19">
        <v>1</v>
      </c>
      <c r="I48" s="19">
        <v>0</v>
      </c>
      <c r="J48" s="19">
        <v>0</v>
      </c>
      <c r="K48" s="19">
        <v>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19" t="s">
        <v>65</v>
      </c>
      <c r="B49" s="19">
        <v>-64123.421020000002</v>
      </c>
      <c r="C49" s="19">
        <f>B49-$B$3-5*$R$4</f>
        <v>-3.7551365000003614</v>
      </c>
      <c r="D49" s="19">
        <v>0.2395859999887815</v>
      </c>
      <c r="E49" s="19">
        <v>2</v>
      </c>
      <c r="F49" s="19">
        <v>2</v>
      </c>
      <c r="G49" s="19">
        <v>1</v>
      </c>
      <c r="H49" s="19">
        <v>2</v>
      </c>
      <c r="I49" s="19">
        <v>1</v>
      </c>
      <c r="J49" s="19">
        <v>0</v>
      </c>
      <c r="K49" s="19">
        <v>2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25"/>
      <c r="Y49" s="25"/>
      <c r="Z49" s="25"/>
    </row>
    <row r="50" spans="1:26" x14ac:dyDescent="0.3">
      <c r="A50" s="19" t="s">
        <v>66</v>
      </c>
      <c r="B50" s="19">
        <v>-64123.388493999999</v>
      </c>
      <c r="C50" s="19">
        <f>B50-$B$3-5*$R$4</f>
        <v>-3.7226104999976712</v>
      </c>
      <c r="D50" s="19">
        <v>0.27211199999147162</v>
      </c>
      <c r="E50" s="19">
        <v>3</v>
      </c>
      <c r="F50" s="19">
        <v>2</v>
      </c>
      <c r="G50" s="19">
        <v>1</v>
      </c>
      <c r="H50" s="19">
        <v>2</v>
      </c>
      <c r="I50" s="19">
        <v>1</v>
      </c>
      <c r="J50" s="19">
        <v>0</v>
      </c>
      <c r="K50" s="19">
        <v>1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5"/>
      <c r="Y50" s="25"/>
      <c r="Z50" s="25"/>
    </row>
    <row r="51" spans="1:26" x14ac:dyDescent="0.3">
      <c r="A51" s="19" t="s">
        <v>67</v>
      </c>
      <c r="B51" s="19">
        <v>-64123.376656</v>
      </c>
      <c r="C51" s="19">
        <f>B51-$B$3-5*$R$4</f>
        <v>-3.7107724999991376</v>
      </c>
      <c r="D51" s="19">
        <v>0.28394999999000525</v>
      </c>
      <c r="E51" s="19">
        <v>3</v>
      </c>
      <c r="F51" s="19">
        <v>2</v>
      </c>
      <c r="G51" s="19">
        <v>1</v>
      </c>
      <c r="H51" s="19">
        <v>2</v>
      </c>
      <c r="I51" s="19">
        <v>0</v>
      </c>
      <c r="J51" s="19">
        <v>0</v>
      </c>
      <c r="K51" s="19">
        <v>1</v>
      </c>
      <c r="N51" s="2"/>
      <c r="O51" s="22"/>
      <c r="P51" s="2"/>
      <c r="Q51" s="2"/>
      <c r="R51" s="2"/>
      <c r="S51" s="2"/>
      <c r="T51" s="2"/>
      <c r="U51" s="2"/>
      <c r="V51" s="2"/>
      <c r="W51" s="2"/>
      <c r="X51" s="25"/>
      <c r="Y51" s="25"/>
      <c r="Z51" s="25"/>
    </row>
    <row r="52" spans="1:26" x14ac:dyDescent="0.3">
      <c r="A52" s="19" t="s">
        <v>68</v>
      </c>
      <c r="B52" s="19">
        <v>-64123.293799999999</v>
      </c>
      <c r="C52" s="19">
        <f>B52-$B$3-5*$R$4</f>
        <v>-3.6279164999982356</v>
      </c>
      <c r="D52" s="19">
        <v>0.36680599999090724</v>
      </c>
      <c r="E52" s="19">
        <v>4</v>
      </c>
      <c r="F52" s="19">
        <v>2</v>
      </c>
      <c r="G52" s="19">
        <v>2</v>
      </c>
      <c r="H52" s="19">
        <v>2</v>
      </c>
      <c r="I52" s="19">
        <v>0</v>
      </c>
      <c r="J52" s="19">
        <v>0</v>
      </c>
      <c r="K52" s="19">
        <v>0</v>
      </c>
      <c r="N52" s="2"/>
      <c r="O52" s="22"/>
      <c r="P52" s="2"/>
      <c r="Q52" s="2"/>
      <c r="R52" s="2"/>
      <c r="S52" s="2"/>
      <c r="T52" s="2"/>
      <c r="U52" s="2"/>
      <c r="V52" s="2"/>
      <c r="W52" s="2"/>
      <c r="X52" s="25"/>
      <c r="Y52" s="25"/>
      <c r="Z52" s="25"/>
    </row>
    <row r="53" spans="1:26" ht="15.6" x14ac:dyDescent="0.3">
      <c r="A53" s="19" t="s">
        <v>35</v>
      </c>
      <c r="B53" s="19">
        <v>-64073.820822000001</v>
      </c>
      <c r="C53" s="19">
        <f>B53-$B$3-2*$R$4</f>
        <v>-1.5869200000002728</v>
      </c>
      <c r="D53" s="19">
        <v>1.0968999995384365E-2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1</v>
      </c>
      <c r="N53" s="2"/>
      <c r="O53" s="22"/>
      <c r="P53" s="2"/>
      <c r="Q53" s="2"/>
      <c r="R53" s="2"/>
      <c r="S53" s="2"/>
      <c r="T53" s="2"/>
      <c r="U53" s="2"/>
      <c r="V53" s="2"/>
      <c r="W53" s="2"/>
      <c r="X53" s="25"/>
      <c r="Y53" s="25"/>
      <c r="Z53" s="25"/>
    </row>
    <row r="54" spans="1:26" x14ac:dyDescent="0.3">
      <c r="A54" s="19" t="s">
        <v>50</v>
      </c>
      <c r="B54" s="19">
        <v>-64090.412712999998</v>
      </c>
      <c r="C54" s="19">
        <f>B54-$B$3-3*$R$4</f>
        <v>-2.3681504999966663</v>
      </c>
      <c r="D54" s="19">
        <v>2.8682999996819447E-2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2</v>
      </c>
      <c r="N54" s="2"/>
      <c r="O54" s="22"/>
      <c r="P54" s="2"/>
      <c r="Q54" s="2"/>
      <c r="R54" s="2"/>
      <c r="S54" s="2"/>
      <c r="T54" s="2"/>
      <c r="U54" s="2"/>
      <c r="V54" s="2"/>
      <c r="W54" s="25"/>
      <c r="X54" s="25"/>
      <c r="Y54" s="25"/>
      <c r="Z54" s="25"/>
    </row>
    <row r="55" spans="1:26" x14ac:dyDescent="0.3">
      <c r="A55" s="19" t="s">
        <v>62</v>
      </c>
      <c r="B55" s="19">
        <v>-64106.996972000001</v>
      </c>
      <c r="C55" s="19">
        <f>B55-$B$3-4*$R$4</f>
        <v>-3.1417489999995993</v>
      </c>
      <c r="D55" s="19">
        <v>5.4028999991714954E-2</v>
      </c>
      <c r="E55" s="19">
        <v>0</v>
      </c>
      <c r="F55" s="19">
        <v>0</v>
      </c>
      <c r="G55" s="19">
        <v>1</v>
      </c>
      <c r="H55" s="19">
        <v>1</v>
      </c>
      <c r="I55" s="19">
        <v>0</v>
      </c>
      <c r="J55" s="19">
        <v>0</v>
      </c>
      <c r="K55" s="19">
        <v>3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W57" s="15"/>
      <c r="X57" s="15"/>
      <c r="Y57" s="15"/>
      <c r="Z57" s="15"/>
    </row>
    <row r="58" spans="1:26" x14ac:dyDescent="0.3">
      <c r="N58" s="2"/>
      <c r="O58" s="2"/>
      <c r="P58" s="2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3">
      <c r="N59" s="2"/>
      <c r="O59" s="2"/>
      <c r="P59" s="2"/>
      <c r="Q59" s="15"/>
      <c r="R59" s="15"/>
      <c r="S59" s="15"/>
      <c r="T59" s="15"/>
      <c r="U59" s="15"/>
      <c r="V59" s="15"/>
      <c r="W59" s="15"/>
      <c r="X59" s="15"/>
      <c r="Y59" s="15"/>
      <c r="Z59" s="15"/>
    </row>
  </sheetData>
  <conditionalFormatting sqref="A5:K55">
    <cfRule type="expression" dxfId="0" priority="1">
      <formula>MOD(ROW(),2)&gt;0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Unknow</vt:lpstr>
      <vt:lpstr>range1-7</vt:lpstr>
      <vt:lpstr>range2-5</vt:lpstr>
      <vt:lpstr>range2-4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Duy Do</cp:lastModifiedBy>
  <dcterms:created xsi:type="dcterms:W3CDTF">2021-08-28T11:06:31Z</dcterms:created>
  <dcterms:modified xsi:type="dcterms:W3CDTF">2024-07-28T14:49:02Z</dcterms:modified>
</cp:coreProperties>
</file>