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Thesis\Code\MonteCarlo_Regression\"/>
    </mc:Choice>
  </mc:AlternateContent>
  <xr:revisionPtr revIDLastSave="0" documentId="13_ncr:1_{443E429E-C867-4295-8E16-C7EA3C5377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" sheetId="1" r:id="rId1"/>
    <sheet name="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2" i="2"/>
</calcChain>
</file>

<file path=xl/sharedStrings.xml><?xml version="1.0" encoding="utf-8"?>
<sst xmlns="http://schemas.openxmlformats.org/spreadsheetml/2006/main" count="191" uniqueCount="93">
  <si>
    <t>E_ads</t>
  </si>
  <si>
    <t>short-bridge</t>
  </si>
  <si>
    <t>b1a</t>
  </si>
  <si>
    <t>b12</t>
  </si>
  <si>
    <t>b1b</t>
  </si>
  <si>
    <t>b13</t>
  </si>
  <si>
    <t>b4a</t>
  </si>
  <si>
    <t>b19</t>
  </si>
  <si>
    <t>b19b</t>
  </si>
  <si>
    <t>b14</t>
  </si>
  <si>
    <t>b123</t>
  </si>
  <si>
    <t>b1a3</t>
  </si>
  <si>
    <t>b1a4</t>
  </si>
  <si>
    <t>b124</t>
  </si>
  <si>
    <t>ba47</t>
  </si>
  <si>
    <t>b129</t>
  </si>
  <si>
    <t>b135</t>
  </si>
  <si>
    <t>b1234</t>
  </si>
  <si>
    <t>b24a3</t>
  </si>
  <si>
    <t>b1239</t>
  </si>
  <si>
    <t>b123a</t>
  </si>
  <si>
    <t>b1249</t>
  </si>
  <si>
    <t>b124a</t>
  </si>
  <si>
    <t>b1352</t>
  </si>
  <si>
    <t>ba419</t>
  </si>
  <si>
    <t>ba471</t>
  </si>
  <si>
    <t>ba479</t>
  </si>
  <si>
    <t>b1357i3</t>
  </si>
  <si>
    <t>b12345</t>
  </si>
  <si>
    <t>b12a79</t>
  </si>
  <si>
    <t>b123a9</t>
  </si>
  <si>
    <t>b1234a</t>
  </si>
  <si>
    <t>ba'2349</t>
  </si>
  <si>
    <t>b12349</t>
  </si>
  <si>
    <t>b12359</t>
  </si>
  <si>
    <t>b12i0i7i89</t>
  </si>
  <si>
    <t>b12357i3</t>
  </si>
  <si>
    <t>6b13579i1</t>
  </si>
  <si>
    <t>6b123456</t>
  </si>
  <si>
    <t>6b123459</t>
  </si>
  <si>
    <t>7b12i0i7i898</t>
  </si>
  <si>
    <t>7b12357i34</t>
  </si>
  <si>
    <t>7b1234567</t>
  </si>
  <si>
    <t>8b12345678</t>
  </si>
  <si>
    <t>9b123456789</t>
  </si>
  <si>
    <t>10b123456789i0</t>
  </si>
  <si>
    <t>11b123456789i0i1</t>
  </si>
  <si>
    <t>12b123456789i0i1i2</t>
  </si>
  <si>
    <t>13b123456789i0i1i2i3</t>
  </si>
  <si>
    <t>14b123456789i0i1i2i3i4</t>
  </si>
  <si>
    <t>15b123456789i0i1i2i3i4i5</t>
  </si>
  <si>
    <t>16b123456789i0i1i2i3i4i5i6</t>
  </si>
  <si>
    <t>17b123456789i0i1i2i3i4i5i6i7</t>
  </si>
  <si>
    <t>18b123456789i0i1i2i3i4i5i6i7i8</t>
  </si>
  <si>
    <t>19H</t>
  </si>
  <si>
    <t>19H_1</t>
  </si>
  <si>
    <t>20H</t>
  </si>
  <si>
    <t>21H</t>
  </si>
  <si>
    <t>21H_1</t>
  </si>
  <si>
    <t>22H</t>
  </si>
  <si>
    <t>23H</t>
  </si>
  <si>
    <t>24H</t>
  </si>
  <si>
    <t>24H_1</t>
  </si>
  <si>
    <t>25H</t>
  </si>
  <si>
    <t>26H</t>
  </si>
  <si>
    <t>26H_1</t>
  </si>
  <si>
    <t>27H</t>
  </si>
  <si>
    <t>27H_1</t>
  </si>
  <si>
    <t>28H</t>
  </si>
  <si>
    <t>28H_1</t>
  </si>
  <si>
    <t>28H_2</t>
  </si>
  <si>
    <t>29H</t>
  </si>
  <si>
    <t>30H</t>
  </si>
  <si>
    <t>30H_1</t>
  </si>
  <si>
    <t>31H</t>
  </si>
  <si>
    <t>31H_1</t>
  </si>
  <si>
    <t>32H</t>
  </si>
  <si>
    <t>33H</t>
  </si>
  <si>
    <t>33H_1</t>
  </si>
  <si>
    <t>34H</t>
  </si>
  <si>
    <t>35H</t>
  </si>
  <si>
    <t>36H</t>
  </si>
  <si>
    <t>k_i</t>
  </si>
  <si>
    <t>E_int</t>
  </si>
  <si>
    <t>case ID</t>
  </si>
  <si>
    <t>E_H/Pt</t>
  </si>
  <si>
    <t>n_H</t>
  </si>
  <si>
    <t>E_H</t>
  </si>
  <si>
    <t>Số lượng Hydro</t>
  </si>
  <si>
    <t>Năng lượng của hệ</t>
  </si>
  <si>
    <t>Năng lượng hấp phụ</t>
  </si>
  <si>
    <t>sum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</si>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</sst>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146685</xdr:colOff>
      <xdr:row>0</xdr:row>
      <xdr:rowOff>49530</xdr:rowOff>
    </xdr:from>
    <xdr:to>
      <xdr:col>24</xdr:col>
      <xdr:colOff>97155</xdr:colOff>
      <xdr:row>28</xdr:row>
      <xdr:rowOff>40005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309985" y="49530"/>
          <a:ext cx="5970270" cy="5111115"/>
          <a:chOff x="4086261" y="1022748"/>
          <a:chExt cx="6038850" cy="513397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86261" y="1022748"/>
            <a:ext cx="6038850" cy="5133975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36743" t="44471" r="57100" b="46526"/>
          <a:stretch/>
        </xdr:blipFill>
        <xdr:spPr>
          <a:xfrm>
            <a:off x="4491610" y="1467059"/>
            <a:ext cx="371789" cy="462225"/>
          </a:xfrm>
          <a:prstGeom prst="rect">
            <a:avLst/>
          </a:prstGeom>
        </xdr:spPr>
      </xdr:pic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4863399" y="1929284"/>
            <a:ext cx="1326387" cy="1410353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13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4863399" y="1698171"/>
            <a:ext cx="1758462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b19b = 5.55 Å</a:t>
            </a:r>
          </a:p>
        </xdr:txBody>
      </xdr:sp>
    </xdr:grpSp>
    <xdr:clientData/>
  </xdr:twoCellAnchor>
  <xdr:twoCellAnchor>
    <xdr:from>
      <xdr:col>2</xdr:col>
      <xdr:colOff>504826</xdr:colOff>
      <xdr:row>0</xdr:row>
      <xdr:rowOff>95250</xdr:rowOff>
    </xdr:from>
    <xdr:to>
      <xdr:col>8</xdr:col>
      <xdr:colOff>19050</xdr:colOff>
      <xdr:row>1</xdr:row>
      <xdr:rowOff>184955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2971801" y="95250"/>
              <a:ext cx="3171824" cy="280205"/>
            </a:xfrm>
            <a:prstGeom prst="rect">
              <a:avLst/>
            </a:prstGeom>
            <a:solidFill>
              <a:srgbClr val="FFFF00"/>
            </a:solidFill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m:t>𝑎𝑑𝑠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𝐻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)</m:t>
                        </m:r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200" b="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  <a:ea typeface="Times New Roman" panose="02020603050405020304" pitchFamily="18" charset="0"/>
                                    <a:cs typeface="Times New Roman" panose="020206030504050203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200" b="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𝐻</m:t>
                                </m:r>
                              </m:sub>
                            </m:sSub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×</m:t>
                            </m:r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m:t>𝑎𝑑𝑠</m:t>
                            </m:r>
                          </m:sub>
                        </m:sSub>
                        <m:d>
                          <m:dPr>
                            <m:ctrlPr>
                              <a:rPr lang="en-US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  <a:ea typeface="Times New Roman" panose="02020603050405020304" pitchFamily="18" charset="0"/>
                                    <a:cs typeface="Times New Roman" panose="020206030504050203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2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𝐻</m:t>
                                </m:r>
                              </m:sub>
                            </m:sSub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=1</m:t>
                            </m:r>
                          </m:e>
                        </m:d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+</m:t>
                        </m:r>
                        <m:r>
                          <m:rPr>
                            <m:nor/>
                          </m:rPr>
                          <a:rPr lang="en-US" sz="1200" i="1">
                            <a:solidFill>
                              <a:srgbClr val="000000"/>
                            </a:solidFill>
                            <a:latin typeface="Calibri" panose="020F0502020204030204" pitchFamily="34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𝑖𝑛𝑡</m:t>
                        </m:r>
                      </m:sub>
                    </m:sSub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8" name="Rectangle 7"/>
            <xdr:cNvSpPr/>
          </xdr:nvSpPr>
          <xdr:spPr>
            <a:xfrm>
              <a:off x="2971801" y="95250"/>
              <a:ext cx="3171824" cy="280205"/>
            </a:xfrm>
            <a:prstGeom prst="rect">
              <a:avLst/>
            </a:prstGeom>
            <a:solidFill>
              <a:srgbClr val="FFFF00"/>
            </a:solidFill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𝐸_𝑎𝑑𝑠</a:t>
              </a:r>
              <a:r>
                <a:rPr lang="en-US" sz="1200" b="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(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𝑛_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𝐻</a:t>
              </a:r>
              <a:r>
                <a:rPr lang="en-US" sz="1200" b="0" i="0">
                  <a:solidFill>
                    <a:srgbClr val="00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)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=〖𝑛</a:t>
              </a:r>
              <a:r>
                <a:rPr lang="en-US" sz="1200" b="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_</a:t>
              </a:r>
              <a:r>
                <a:rPr lang="en-US" sz="1200" b="0" i="0">
                  <a:solidFill>
                    <a:srgbClr val="00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𝐻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×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𝐸〗_𝑎𝑑𝑠 (𝑛_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𝐻=1)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+"</a:t>
              </a:r>
              <a:r>
                <a:rPr lang="en-US" sz="1200" i="0">
                  <a:solidFill>
                    <a:srgbClr val="000000"/>
                  </a:solidFill>
                  <a:latin typeface="Calibri" panose="020F0502020204030204" pitchFamily="34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" 𝐸〗_𝑖𝑛𝑡</a:t>
              </a:r>
              <a:endParaRPr lang="en-US" sz="1200"/>
            </a:p>
          </xdr:txBody>
        </xdr:sp>
      </mc:Fallback>
    </mc:AlternateContent>
    <xdr:clientData/>
  </xdr:twoCellAnchor>
  <xdr:twoCellAnchor>
    <xdr:from>
      <xdr:col>8</xdr:col>
      <xdr:colOff>285751</xdr:colOff>
      <xdr:row>0</xdr:row>
      <xdr:rowOff>0</xdr:rowOff>
    </xdr:from>
    <xdr:to>
      <xdr:col>14</xdr:col>
      <xdr:colOff>142875</xdr:colOff>
      <xdr:row>2</xdr:row>
      <xdr:rowOff>183578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6410326" y="0"/>
              <a:ext cx="3514724" cy="564578"/>
            </a:xfrm>
            <a:prstGeom prst="rect">
              <a:avLst/>
            </a:prstGeom>
            <a:solidFill>
              <a:srgbClr val="FFFF00"/>
            </a:solidFill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𝑎𝑑𝑠</m:t>
                        </m:r>
                      </m:sub>
                    </m:sSub>
                    <m:r>
                      <a:rPr lang="en-US" sz="12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𝐻</m:t>
                        </m:r>
                      </m:sub>
                    </m:sSub>
                    <m:r>
                      <a:rPr lang="en-US" sz="12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)</m:t>
                    </m:r>
                    <m:r>
                      <a:rPr lang="en-US" sz="12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𝐻</m:t>
                            </m:r>
                          </m:sub>
                        </m:sSub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  <m:t>×</m:t>
                        </m:r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𝑎𝑑𝑠</m:t>
                        </m:r>
                      </m:sub>
                    </m:sSub>
                    <m:d>
                      <m:dPr>
                        <m:ctrlPr>
                          <a:rPr lang="en-US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𝐻</m:t>
                            </m:r>
                          </m:sub>
                        </m:sSub>
                        <m:r>
                          <a:rPr 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=1</m:t>
                        </m:r>
                      </m:e>
                    </m:d>
                    <m:r>
                      <a:rPr lang="en-US" sz="12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+</m:t>
                    </m:r>
                    <m:nary>
                      <m:naryPr>
                        <m:chr m:val="∑"/>
                        <m:supHide m:val="on"/>
                        <m:ctrlPr>
                          <a:rPr lang="en-US" sz="120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en-US" sz="12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𝑖</m:t>
                        </m:r>
                        <m:r>
                          <a:rPr lang="en-US" sz="12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  <m:t>∈{1,2,3,4}</m:t>
                        </m:r>
                      </m:sub>
                      <m:sup/>
                      <m:e>
                        <m:sSub>
                          <m:sSubPr>
                            <m:ctrlPr>
                              <a:rPr lang="en-US" sz="120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20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n-US" sz="12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2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𝑖𝑛𝑡</m:t>
                            </m:r>
                            <m:r>
                              <a:rPr lang="en-US" sz="12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_</m:t>
                            </m:r>
                            <m:r>
                              <a:rPr lang="en-US" sz="12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9" name="Rectangle 8"/>
            <xdr:cNvSpPr/>
          </xdr:nvSpPr>
          <xdr:spPr>
            <a:xfrm>
              <a:off x="6410326" y="0"/>
              <a:ext cx="3514724" cy="564578"/>
            </a:xfrm>
            <a:prstGeom prst="rect">
              <a:avLst/>
            </a:prstGeom>
            <a:solidFill>
              <a:srgbClr val="FFFF00"/>
            </a:solidFill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𝐸_𝑎𝑑𝑠 (𝑛_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𝐻)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=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𝑛_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𝐻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×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𝐸〗_𝑎𝑑𝑠 </a:t>
              </a:r>
              <a:r>
                <a:rPr lang="en-US" sz="1200" i="0">
                  <a:latin typeface="Cambria Math" panose="02040503050406030204" pitchFamily="18" charset="0"/>
                </a:rPr>
                <a:t>(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𝑛_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𝐻=1)</a:t>
              </a:r>
              <a:r>
                <a:rPr lang="en-US" sz="1200" i="0">
                  <a:solidFill>
                    <a:srgbClr val="000000"/>
                  </a:solidFill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+</a:t>
              </a:r>
              <a:r>
                <a:rPr lang="en-US" sz="1200" i="0">
                  <a:solidFill>
                    <a:srgbClr val="FF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∑</a:t>
              </a:r>
              <a:r>
                <a:rPr lang="en-US" sz="1200" b="0" i="0">
                  <a:solidFill>
                    <a:srgbClr val="FF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_(</a:t>
              </a:r>
              <a:r>
                <a:rPr lang="en-US" sz="1200" b="0" i="0">
                  <a:solidFill>
                    <a:srgbClr val="FF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𝑖</a:t>
              </a:r>
              <a:r>
                <a:rPr lang="en-US" sz="1200" b="0" i="0">
                  <a:solidFill>
                    <a:srgbClr val="FF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∈{1,2,3,4})▒〖</a:t>
              </a:r>
              <a:r>
                <a:rPr lang="en-US" sz="1200" b="0" i="0">
                  <a:solidFill>
                    <a:srgbClr val="FF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𝑘_𝑖 𝐸〗_(𝑖𝑛𝑡_𝑖) </a:t>
              </a:r>
              <a:endParaRPr lang="en-US" sz="12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86"/>
  <sheetViews>
    <sheetView tabSelected="1" topLeftCell="A35" workbookViewId="0">
      <selection activeCell="B20" sqref="B20"/>
    </sheetView>
  </sheetViews>
  <sheetFormatPr defaultColWidth="8.77734375" defaultRowHeight="14.4" x14ac:dyDescent="0.3"/>
  <cols>
    <col min="1" max="1" width="27.77734375" bestFit="1" customWidth="1"/>
    <col min="2" max="2" width="13.5546875" bestFit="1" customWidth="1"/>
    <col min="3" max="3" width="16.21875" bestFit="1" customWidth="1"/>
    <col min="4" max="4" width="17.44140625" bestFit="1" customWidth="1"/>
  </cols>
  <sheetData>
    <row r="2" spans="1:12" x14ac:dyDescent="0.3">
      <c r="A2" t="s">
        <v>87</v>
      </c>
      <c r="B2">
        <v>-15.810660499999999</v>
      </c>
    </row>
    <row r="4" spans="1:12" x14ac:dyDescent="0.3">
      <c r="B4" t="s">
        <v>88</v>
      </c>
      <c r="C4" t="s">
        <v>89</v>
      </c>
      <c r="D4" t="s">
        <v>90</v>
      </c>
    </row>
    <row r="5" spans="1:12" x14ac:dyDescent="0.3">
      <c r="A5" s="4" t="s">
        <v>84</v>
      </c>
      <c r="B5" s="4" t="s">
        <v>86</v>
      </c>
      <c r="C5" s="4" t="s">
        <v>85</v>
      </c>
      <c r="D5" s="4" t="s">
        <v>0</v>
      </c>
      <c r="E5" s="4" t="s">
        <v>83</v>
      </c>
      <c r="F5" s="3" t="s">
        <v>82</v>
      </c>
      <c r="G5" s="3"/>
      <c r="H5" s="3"/>
      <c r="I5" s="3"/>
      <c r="J5" s="3"/>
      <c r="K5" s="3"/>
      <c r="L5" s="3"/>
    </row>
    <row r="6" spans="1:12" x14ac:dyDescent="0.3">
      <c r="A6" s="4"/>
      <c r="B6" s="4"/>
      <c r="C6" s="4"/>
      <c r="D6" s="4"/>
      <c r="E6" s="4"/>
      <c r="F6" t="s">
        <v>2</v>
      </c>
      <c r="G6" t="s">
        <v>3</v>
      </c>
      <c r="H6" t="s">
        <v>4</v>
      </c>
      <c r="I6" t="s">
        <v>5</v>
      </c>
      <c r="J6" t="s">
        <v>6</v>
      </c>
      <c r="K6" t="s">
        <v>7</v>
      </c>
      <c r="L6" t="s">
        <v>8</v>
      </c>
    </row>
    <row r="7" spans="1:12" x14ac:dyDescent="0.3">
      <c r="A7" t="s">
        <v>1</v>
      </c>
      <c r="B7">
        <v>1</v>
      </c>
      <c r="C7">
        <v>-64057.222185999999</v>
      </c>
      <c r="D7">
        <v>-0.79894449999782902</v>
      </c>
      <c r="E7" s="1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4</v>
      </c>
      <c r="B8">
        <v>2</v>
      </c>
      <c r="C8">
        <v>-64073.824418999997</v>
      </c>
      <c r="D8">
        <v>-1.590516999995625</v>
      </c>
      <c r="E8">
        <v>7.3720000000321306E-3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3</v>
      </c>
      <c r="B9">
        <v>2</v>
      </c>
      <c r="C9">
        <v>-64073.795804000001</v>
      </c>
      <c r="D9">
        <v>-1.5619019999999999</v>
      </c>
      <c r="E9">
        <v>3.5986999995657243E-2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2</v>
      </c>
      <c r="B10">
        <v>2</v>
      </c>
      <c r="C10">
        <v>-64073.78368</v>
      </c>
      <c r="D10">
        <v>-1.5497779999992325</v>
      </c>
      <c r="E10">
        <v>4.8110999996424653E-2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5</v>
      </c>
      <c r="B11">
        <v>2</v>
      </c>
      <c r="C11">
        <v>-64073.826342</v>
      </c>
      <c r="D11">
        <v>-1.592439999999069</v>
      </c>
      <c r="E11">
        <v>5.4489999965880997E-3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</row>
    <row r="12" spans="1:12" x14ac:dyDescent="0.3">
      <c r="A12" t="s">
        <v>9</v>
      </c>
      <c r="B12">
        <v>2</v>
      </c>
      <c r="C12">
        <v>-64073.826313999998</v>
      </c>
      <c r="D12">
        <v>-1.592411999996866</v>
      </c>
      <c r="E12">
        <v>5.4769999987911433E-3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6</v>
      </c>
      <c r="B13">
        <v>2</v>
      </c>
      <c r="C13">
        <v>-64073.820822000001</v>
      </c>
      <c r="D13">
        <v>-1.5869200000002728</v>
      </c>
      <c r="E13">
        <v>1.0968999995384365E-2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</row>
    <row r="14" spans="1:12" x14ac:dyDescent="0.3">
      <c r="A14" t="s">
        <v>7</v>
      </c>
      <c r="B14">
        <v>2</v>
      </c>
      <c r="C14">
        <v>-64073.820087</v>
      </c>
      <c r="D14">
        <v>-1.5861849999988316</v>
      </c>
      <c r="E14">
        <v>1.1703999996825587E-2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</row>
    <row r="15" spans="1:12" x14ac:dyDescent="0.3">
      <c r="A15" t="s">
        <v>10</v>
      </c>
      <c r="B15">
        <v>3</v>
      </c>
      <c r="C15">
        <v>-64090.389736999998</v>
      </c>
      <c r="D15">
        <v>-2.3451744999964674</v>
      </c>
      <c r="E15">
        <v>5.1658999997018284E-2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</row>
    <row r="16" spans="1:12" x14ac:dyDescent="0.3">
      <c r="A16" t="s">
        <v>11</v>
      </c>
      <c r="B16">
        <v>3</v>
      </c>
      <c r="C16">
        <v>-64090.298674999998</v>
      </c>
      <c r="D16">
        <v>-2.2541124999969568</v>
      </c>
      <c r="E16">
        <v>0.14272099999652887</v>
      </c>
      <c r="F16">
        <v>2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</row>
    <row r="17" spans="1:12" x14ac:dyDescent="0.3">
      <c r="A17" t="s">
        <v>12</v>
      </c>
      <c r="B17">
        <v>3</v>
      </c>
      <c r="C17">
        <v>-64090.375950000001</v>
      </c>
      <c r="D17">
        <v>-2.3313875000002398</v>
      </c>
      <c r="E17">
        <v>6.5445999993245962E-2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</row>
    <row r="18" spans="1:12" x14ac:dyDescent="0.3">
      <c r="A18" t="s">
        <v>13</v>
      </c>
      <c r="B18">
        <v>3</v>
      </c>
      <c r="C18">
        <v>-64090.397914000001</v>
      </c>
      <c r="D18">
        <v>-2.3533514999998104</v>
      </c>
      <c r="E18">
        <v>4.3481999993675302E-2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t="s">
        <v>14</v>
      </c>
      <c r="B19">
        <v>3</v>
      </c>
      <c r="C19">
        <v>-64090.412712999998</v>
      </c>
      <c r="D19">
        <v>-2.3681504999966663</v>
      </c>
      <c r="E19">
        <v>2.8682999996819447E-2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</row>
    <row r="20" spans="1:12" x14ac:dyDescent="0.3">
      <c r="A20" t="s">
        <v>15</v>
      </c>
      <c r="B20">
        <v>3</v>
      </c>
      <c r="C20">
        <v>-64090.372091999998</v>
      </c>
      <c r="D20">
        <v>-2.3275294999965652</v>
      </c>
      <c r="E20">
        <v>6.9303999996920496E-2</v>
      </c>
      <c r="F20">
        <v>0</v>
      </c>
      <c r="G20">
        <v>2</v>
      </c>
      <c r="H20">
        <v>0</v>
      </c>
      <c r="I20">
        <v>0</v>
      </c>
      <c r="J20">
        <v>0</v>
      </c>
      <c r="K20">
        <v>1</v>
      </c>
      <c r="L20">
        <v>0</v>
      </c>
    </row>
    <row r="21" spans="1:12" x14ac:dyDescent="0.3">
      <c r="A21" t="s">
        <v>16</v>
      </c>
      <c r="B21">
        <v>3</v>
      </c>
      <c r="C21">
        <v>-64090.429834000002</v>
      </c>
      <c r="D21">
        <v>-2.3852715000010747</v>
      </c>
      <c r="E21">
        <v>1.1561999992411032E-2</v>
      </c>
      <c r="F21">
        <v>0</v>
      </c>
      <c r="G21">
        <v>0</v>
      </c>
      <c r="H21">
        <v>0</v>
      </c>
      <c r="I21">
        <v>3</v>
      </c>
      <c r="J21">
        <v>0</v>
      </c>
      <c r="K21">
        <v>0</v>
      </c>
      <c r="L21">
        <v>0</v>
      </c>
    </row>
    <row r="22" spans="1:12" x14ac:dyDescent="0.3">
      <c r="A22" t="s">
        <v>17</v>
      </c>
      <c r="B22">
        <v>4</v>
      </c>
      <c r="C22">
        <v>-64106.964669000001</v>
      </c>
      <c r="D22">
        <v>-3.1094459999996431</v>
      </c>
      <c r="E22">
        <v>8.6331999991671182E-2</v>
      </c>
      <c r="F22">
        <v>0</v>
      </c>
      <c r="G22">
        <v>2</v>
      </c>
      <c r="H22">
        <v>1</v>
      </c>
      <c r="I22">
        <v>2</v>
      </c>
      <c r="J22">
        <v>0</v>
      </c>
      <c r="K22">
        <v>0</v>
      </c>
      <c r="L22">
        <v>0</v>
      </c>
    </row>
    <row r="23" spans="1:12" x14ac:dyDescent="0.3">
      <c r="A23" t="s">
        <v>18</v>
      </c>
      <c r="B23">
        <v>4</v>
      </c>
      <c r="C23">
        <v>-64106.916719000001</v>
      </c>
      <c r="D23">
        <v>-3.061495999999515</v>
      </c>
      <c r="E23">
        <v>0.13428199999179924</v>
      </c>
      <c r="F23">
        <v>2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</row>
    <row r="24" spans="1:12" x14ac:dyDescent="0.3">
      <c r="A24" t="s">
        <v>19</v>
      </c>
      <c r="B24">
        <v>4</v>
      </c>
      <c r="C24">
        <v>-64106.969994999999</v>
      </c>
      <c r="D24">
        <v>-3.1147719999982471</v>
      </c>
      <c r="E24">
        <v>8.1005999993067235E-2</v>
      </c>
      <c r="F24">
        <v>0</v>
      </c>
      <c r="G24">
        <v>2</v>
      </c>
      <c r="H24">
        <v>1</v>
      </c>
      <c r="I24">
        <v>2</v>
      </c>
      <c r="J24">
        <v>0</v>
      </c>
      <c r="K24">
        <v>1</v>
      </c>
      <c r="L24">
        <v>0</v>
      </c>
    </row>
    <row r="25" spans="1:12" x14ac:dyDescent="0.3">
      <c r="A25" t="s">
        <v>20</v>
      </c>
      <c r="B25">
        <v>4</v>
      </c>
      <c r="C25">
        <v>-64106.815552</v>
      </c>
      <c r="D25">
        <v>-2.9603289999988007</v>
      </c>
      <c r="E25">
        <v>0.23544899999251356</v>
      </c>
      <c r="F25">
        <v>3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</row>
    <row r="26" spans="1:12" x14ac:dyDescent="0.3">
      <c r="A26" t="s">
        <v>21</v>
      </c>
      <c r="B26">
        <v>4</v>
      </c>
      <c r="C26">
        <v>-64106.968430000001</v>
      </c>
      <c r="D26">
        <v>-3.1132069999995835</v>
      </c>
      <c r="E26">
        <v>8.2570999991730787E-2</v>
      </c>
      <c r="F26">
        <v>0</v>
      </c>
      <c r="G26">
        <v>2</v>
      </c>
      <c r="H26">
        <v>1</v>
      </c>
      <c r="I26">
        <v>1</v>
      </c>
      <c r="J26">
        <v>0</v>
      </c>
      <c r="K26">
        <v>1</v>
      </c>
      <c r="L26">
        <v>0</v>
      </c>
    </row>
    <row r="27" spans="1:12" x14ac:dyDescent="0.3">
      <c r="A27" t="s">
        <v>22</v>
      </c>
      <c r="B27">
        <v>4</v>
      </c>
      <c r="C27">
        <v>-64106.872261999997</v>
      </c>
      <c r="D27">
        <v>-3.0170389999959113</v>
      </c>
      <c r="E27">
        <v>0.17873899999540299</v>
      </c>
      <c r="F27">
        <v>2</v>
      </c>
      <c r="G27">
        <v>1</v>
      </c>
      <c r="H27">
        <v>0</v>
      </c>
      <c r="I27">
        <v>1</v>
      </c>
      <c r="J27">
        <v>1</v>
      </c>
      <c r="K27">
        <v>0</v>
      </c>
      <c r="L27">
        <v>0</v>
      </c>
    </row>
    <row r="28" spans="1:12" x14ac:dyDescent="0.3">
      <c r="A28" t="s">
        <v>23</v>
      </c>
      <c r="B28">
        <v>4</v>
      </c>
      <c r="C28">
        <v>-64106.993028999997</v>
      </c>
      <c r="D28">
        <v>-3.1378059999962531</v>
      </c>
      <c r="E28">
        <v>5.7971999995061196E-2</v>
      </c>
      <c r="F28">
        <v>0</v>
      </c>
      <c r="G28">
        <v>1</v>
      </c>
      <c r="H28">
        <v>1</v>
      </c>
      <c r="I28">
        <v>3</v>
      </c>
      <c r="J28">
        <v>0</v>
      </c>
      <c r="K28">
        <v>0</v>
      </c>
      <c r="L28">
        <v>0</v>
      </c>
    </row>
    <row r="29" spans="1:12" x14ac:dyDescent="0.3">
      <c r="A29" t="s">
        <v>24</v>
      </c>
      <c r="B29">
        <v>4</v>
      </c>
      <c r="C29">
        <v>-64106.950879000004</v>
      </c>
      <c r="D29">
        <v>-3.0956560000023998</v>
      </c>
      <c r="E29">
        <v>0.10012199998891447</v>
      </c>
      <c r="F29">
        <v>1</v>
      </c>
      <c r="G29">
        <v>0</v>
      </c>
      <c r="H29">
        <v>1</v>
      </c>
      <c r="I29">
        <v>0</v>
      </c>
      <c r="J29">
        <v>2</v>
      </c>
      <c r="K29">
        <v>1</v>
      </c>
      <c r="L29">
        <v>0</v>
      </c>
    </row>
    <row r="30" spans="1:12" x14ac:dyDescent="0.3">
      <c r="A30" t="s">
        <v>25</v>
      </c>
      <c r="B30">
        <v>4</v>
      </c>
      <c r="C30">
        <v>-64106.961837000003</v>
      </c>
      <c r="D30">
        <v>-3.1066140000013363</v>
      </c>
      <c r="E30">
        <v>8.9163999989978038E-2</v>
      </c>
      <c r="F30">
        <v>1</v>
      </c>
      <c r="G30">
        <v>0</v>
      </c>
      <c r="H30">
        <v>0</v>
      </c>
      <c r="I30">
        <v>1</v>
      </c>
      <c r="J30">
        <v>2</v>
      </c>
      <c r="K30">
        <v>0</v>
      </c>
      <c r="L30">
        <v>0</v>
      </c>
    </row>
    <row r="31" spans="1:12" x14ac:dyDescent="0.3">
      <c r="A31" t="s">
        <v>26</v>
      </c>
      <c r="B31">
        <v>4</v>
      </c>
      <c r="C31">
        <v>-64106.996972000001</v>
      </c>
      <c r="D31">
        <v>-3.1417489999995993</v>
      </c>
      <c r="E31">
        <v>5.4028999991714954E-2</v>
      </c>
      <c r="F31">
        <v>0</v>
      </c>
      <c r="G31">
        <v>0</v>
      </c>
      <c r="H31">
        <v>1</v>
      </c>
      <c r="I31">
        <v>1</v>
      </c>
      <c r="J31">
        <v>3</v>
      </c>
      <c r="K31">
        <v>0</v>
      </c>
      <c r="L31">
        <v>0</v>
      </c>
    </row>
    <row r="32" spans="1:12" x14ac:dyDescent="0.3">
      <c r="A32" t="s">
        <v>27</v>
      </c>
      <c r="B32">
        <v>5</v>
      </c>
      <c r="C32">
        <v>-64123.595280000001</v>
      </c>
      <c r="D32">
        <v>-3.9293965000001378</v>
      </c>
      <c r="E32">
        <v>6.5325999989005012E-2</v>
      </c>
      <c r="F32">
        <v>0</v>
      </c>
      <c r="G32">
        <v>0</v>
      </c>
      <c r="H32">
        <v>0</v>
      </c>
      <c r="I32">
        <v>6</v>
      </c>
      <c r="J32">
        <v>0</v>
      </c>
      <c r="K32">
        <v>2</v>
      </c>
      <c r="L32">
        <v>2</v>
      </c>
    </row>
    <row r="33" spans="1:12" x14ac:dyDescent="0.3">
      <c r="A33" t="s">
        <v>28</v>
      </c>
      <c r="B33">
        <v>5</v>
      </c>
      <c r="C33">
        <v>-64123.548547999999</v>
      </c>
      <c r="D33">
        <v>-3.8826644999976168</v>
      </c>
      <c r="E33">
        <v>0.1120579999915261</v>
      </c>
      <c r="F33">
        <v>0</v>
      </c>
      <c r="G33">
        <v>2</v>
      </c>
      <c r="H33">
        <v>2</v>
      </c>
      <c r="I33">
        <v>4</v>
      </c>
      <c r="J33">
        <v>0</v>
      </c>
      <c r="K33">
        <v>0</v>
      </c>
      <c r="L33">
        <v>0</v>
      </c>
    </row>
    <row r="34" spans="1:12" x14ac:dyDescent="0.3">
      <c r="A34" t="s">
        <v>29</v>
      </c>
      <c r="B34">
        <v>5</v>
      </c>
      <c r="C34">
        <v>-64123.421020000002</v>
      </c>
      <c r="D34">
        <v>-3.7551365000003614</v>
      </c>
      <c r="E34">
        <v>0.2395859999887815</v>
      </c>
      <c r="F34">
        <v>2</v>
      </c>
      <c r="G34">
        <v>2</v>
      </c>
      <c r="H34">
        <v>1</v>
      </c>
      <c r="I34">
        <v>2</v>
      </c>
      <c r="J34">
        <v>2</v>
      </c>
      <c r="K34">
        <v>1</v>
      </c>
      <c r="L34">
        <v>0</v>
      </c>
    </row>
    <row r="35" spans="1:12" x14ac:dyDescent="0.3">
      <c r="A35" t="s">
        <v>30</v>
      </c>
      <c r="B35">
        <v>5</v>
      </c>
      <c r="C35">
        <v>-64123.388493999999</v>
      </c>
      <c r="D35">
        <v>-3.7226104999976712</v>
      </c>
      <c r="E35">
        <v>0.27211199999147162</v>
      </c>
      <c r="F35">
        <v>3</v>
      </c>
      <c r="G35">
        <v>2</v>
      </c>
      <c r="H35">
        <v>1</v>
      </c>
      <c r="I35">
        <v>2</v>
      </c>
      <c r="J35">
        <v>1</v>
      </c>
      <c r="K35">
        <v>1</v>
      </c>
      <c r="L35">
        <v>0</v>
      </c>
    </row>
    <row r="36" spans="1:12" x14ac:dyDescent="0.3">
      <c r="A36" t="s">
        <v>31</v>
      </c>
      <c r="B36">
        <v>5</v>
      </c>
      <c r="C36">
        <v>-64123.376656</v>
      </c>
      <c r="D36">
        <v>-3.7107724999991376</v>
      </c>
      <c r="E36">
        <v>0.28394999999000525</v>
      </c>
      <c r="F36">
        <v>3</v>
      </c>
      <c r="G36">
        <v>2</v>
      </c>
      <c r="H36">
        <v>1</v>
      </c>
      <c r="I36">
        <v>2</v>
      </c>
      <c r="J36">
        <v>1</v>
      </c>
      <c r="K36">
        <v>0</v>
      </c>
      <c r="L36">
        <v>0</v>
      </c>
    </row>
    <row r="37" spans="1:12" x14ac:dyDescent="0.3">
      <c r="A37" t="s">
        <v>32</v>
      </c>
      <c r="B37">
        <v>5</v>
      </c>
      <c r="C37">
        <v>-64123.293799999999</v>
      </c>
      <c r="D37">
        <v>-3.6279164999982356</v>
      </c>
      <c r="E37">
        <v>0.36680599999090724</v>
      </c>
      <c r="F37">
        <v>4</v>
      </c>
      <c r="G37">
        <v>2</v>
      </c>
      <c r="H37">
        <v>2</v>
      </c>
      <c r="I37">
        <v>2</v>
      </c>
      <c r="J37">
        <v>0</v>
      </c>
      <c r="K37">
        <v>0</v>
      </c>
      <c r="L37">
        <v>0</v>
      </c>
    </row>
    <row r="38" spans="1:12" x14ac:dyDescent="0.3">
      <c r="A38" t="s">
        <v>33</v>
      </c>
      <c r="B38">
        <v>5</v>
      </c>
      <c r="C38">
        <v>-64123.533239999997</v>
      </c>
      <c r="D38">
        <v>-3.8673564999957932</v>
      </c>
      <c r="E38">
        <v>0.12736599999334963</v>
      </c>
      <c r="F38">
        <v>0</v>
      </c>
      <c r="G38">
        <v>3</v>
      </c>
      <c r="H38">
        <v>2</v>
      </c>
      <c r="I38">
        <v>3</v>
      </c>
      <c r="J38">
        <v>0</v>
      </c>
      <c r="K38">
        <v>1</v>
      </c>
      <c r="L38">
        <v>0</v>
      </c>
    </row>
    <row r="39" spans="1:12" x14ac:dyDescent="0.3">
      <c r="A39" t="s">
        <v>34</v>
      </c>
      <c r="B39">
        <v>5</v>
      </c>
      <c r="C39">
        <v>-64123.557480000003</v>
      </c>
      <c r="D39">
        <v>-3.8915965000018957</v>
      </c>
      <c r="E39">
        <v>0.10312599998724714</v>
      </c>
      <c r="F39">
        <v>0</v>
      </c>
      <c r="G39">
        <v>2</v>
      </c>
      <c r="H39">
        <v>1</v>
      </c>
      <c r="I39">
        <v>4</v>
      </c>
      <c r="J39">
        <v>0</v>
      </c>
      <c r="K39">
        <v>1</v>
      </c>
      <c r="L39">
        <v>1</v>
      </c>
    </row>
    <row r="40" spans="1:12" x14ac:dyDescent="0.3">
      <c r="A40" t="s">
        <v>35</v>
      </c>
      <c r="B40">
        <v>6</v>
      </c>
      <c r="C40">
        <v>-64140.104765999997</v>
      </c>
      <c r="D40">
        <v>-4.6282219999955174</v>
      </c>
      <c r="E40">
        <v>0.16544499999145401</v>
      </c>
      <c r="F40">
        <v>0</v>
      </c>
      <c r="G40">
        <v>6</v>
      </c>
      <c r="H40">
        <v>0</v>
      </c>
      <c r="I40">
        <v>0</v>
      </c>
      <c r="J40">
        <v>0</v>
      </c>
      <c r="K40">
        <v>6</v>
      </c>
      <c r="L40">
        <v>0</v>
      </c>
    </row>
    <row r="41" spans="1:12" x14ac:dyDescent="0.3">
      <c r="A41" t="s">
        <v>36</v>
      </c>
      <c r="B41">
        <v>6</v>
      </c>
      <c r="C41">
        <v>-64140.140529999997</v>
      </c>
      <c r="D41">
        <v>-4.6639859999957167</v>
      </c>
      <c r="E41">
        <v>0.12968099999125471</v>
      </c>
      <c r="F41">
        <v>0</v>
      </c>
      <c r="G41">
        <v>1</v>
      </c>
      <c r="H41">
        <v>2</v>
      </c>
      <c r="I41">
        <v>6</v>
      </c>
      <c r="J41">
        <v>0</v>
      </c>
      <c r="K41">
        <v>2</v>
      </c>
      <c r="L41">
        <v>2</v>
      </c>
    </row>
    <row r="42" spans="1:12" x14ac:dyDescent="0.3">
      <c r="A42" t="s">
        <v>37</v>
      </c>
      <c r="B42">
        <v>6</v>
      </c>
      <c r="C42">
        <v>-64140.175926000004</v>
      </c>
      <c r="D42">
        <v>-4.6993820000023021</v>
      </c>
      <c r="E42">
        <v>9.4284999984669327E-2</v>
      </c>
      <c r="F42">
        <v>0</v>
      </c>
      <c r="G42">
        <v>0</v>
      </c>
      <c r="H42">
        <v>0</v>
      </c>
      <c r="I42">
        <v>9</v>
      </c>
      <c r="J42">
        <v>0</v>
      </c>
      <c r="K42">
        <v>3</v>
      </c>
      <c r="L42">
        <v>3</v>
      </c>
    </row>
    <row r="43" spans="1:12" x14ac:dyDescent="0.3">
      <c r="A43" t="s">
        <v>38</v>
      </c>
      <c r="B43">
        <v>6</v>
      </c>
      <c r="C43">
        <v>-64140.092383000003</v>
      </c>
      <c r="D43">
        <v>-4.6158390000016567</v>
      </c>
      <c r="E43">
        <v>0.17782799998531473</v>
      </c>
      <c r="F43">
        <v>0</v>
      </c>
      <c r="G43">
        <v>3</v>
      </c>
      <c r="H43">
        <v>3</v>
      </c>
      <c r="I43">
        <v>6</v>
      </c>
      <c r="J43">
        <v>0</v>
      </c>
      <c r="K43">
        <v>0</v>
      </c>
      <c r="L43">
        <v>0</v>
      </c>
    </row>
    <row r="44" spans="1:12" x14ac:dyDescent="0.3">
      <c r="A44" t="s">
        <v>39</v>
      </c>
      <c r="B44">
        <v>6</v>
      </c>
      <c r="C44">
        <v>-64140.100874000003</v>
      </c>
      <c r="D44">
        <v>-4.6243300000021605</v>
      </c>
      <c r="E44">
        <v>0.16933699998481089</v>
      </c>
      <c r="F44">
        <v>0</v>
      </c>
      <c r="G44">
        <v>3</v>
      </c>
      <c r="H44">
        <v>3</v>
      </c>
      <c r="I44">
        <v>5</v>
      </c>
      <c r="J44">
        <v>0</v>
      </c>
      <c r="K44">
        <v>1</v>
      </c>
      <c r="L44">
        <v>1</v>
      </c>
    </row>
    <row r="45" spans="1:12" x14ac:dyDescent="0.3">
      <c r="A45" t="s">
        <v>40</v>
      </c>
      <c r="B45">
        <v>7</v>
      </c>
      <c r="C45">
        <v>-64156.680456000002</v>
      </c>
      <c r="D45">
        <v>-5.3932515000006447</v>
      </c>
      <c r="E45">
        <v>0.19935999998415532</v>
      </c>
      <c r="F45">
        <v>0</v>
      </c>
      <c r="G45">
        <v>6</v>
      </c>
      <c r="H45">
        <v>1</v>
      </c>
      <c r="I45">
        <v>2</v>
      </c>
      <c r="J45">
        <v>0</v>
      </c>
      <c r="K45">
        <v>6</v>
      </c>
      <c r="L45">
        <v>1</v>
      </c>
    </row>
    <row r="46" spans="1:12" x14ac:dyDescent="0.3">
      <c r="A46" t="s">
        <v>41</v>
      </c>
      <c r="B46">
        <v>7</v>
      </c>
      <c r="C46">
        <v>-64156.692351999998</v>
      </c>
      <c r="D46">
        <v>-5.4051474999969855</v>
      </c>
      <c r="E46">
        <v>0.18746399998781449</v>
      </c>
      <c r="F46">
        <v>0</v>
      </c>
      <c r="G46">
        <v>2</v>
      </c>
      <c r="H46">
        <v>3</v>
      </c>
      <c r="I46">
        <v>7</v>
      </c>
      <c r="J46">
        <v>0</v>
      </c>
      <c r="K46">
        <v>2</v>
      </c>
      <c r="L46">
        <v>2</v>
      </c>
    </row>
    <row r="47" spans="1:12" x14ac:dyDescent="0.3">
      <c r="A47" t="s">
        <v>42</v>
      </c>
      <c r="B47">
        <v>7</v>
      </c>
      <c r="C47">
        <v>-64156.644838</v>
      </c>
      <c r="D47">
        <v>-5.3576334999989399</v>
      </c>
      <c r="E47">
        <v>0.23497799998586011</v>
      </c>
      <c r="F47">
        <v>0</v>
      </c>
      <c r="G47">
        <v>4</v>
      </c>
      <c r="H47">
        <v>4</v>
      </c>
      <c r="I47">
        <v>7</v>
      </c>
      <c r="J47">
        <v>0</v>
      </c>
      <c r="K47">
        <v>1</v>
      </c>
      <c r="L47">
        <v>1</v>
      </c>
    </row>
    <row r="48" spans="1:12" x14ac:dyDescent="0.3">
      <c r="A48" t="s">
        <v>43</v>
      </c>
      <c r="B48">
        <v>8</v>
      </c>
      <c r="C48">
        <v>-64173.216370000002</v>
      </c>
      <c r="D48">
        <v>-6.1185050000006953</v>
      </c>
      <c r="E48">
        <v>0.27305099998193327</v>
      </c>
      <c r="F48">
        <v>0</v>
      </c>
      <c r="G48">
        <v>5</v>
      </c>
      <c r="H48">
        <v>4</v>
      </c>
      <c r="I48">
        <v>8</v>
      </c>
      <c r="J48">
        <v>0</v>
      </c>
      <c r="K48">
        <v>2</v>
      </c>
      <c r="L48">
        <v>2</v>
      </c>
    </row>
    <row r="49" spans="1:12" x14ac:dyDescent="0.3">
      <c r="A49" t="s">
        <v>44</v>
      </c>
      <c r="B49">
        <v>9</v>
      </c>
      <c r="C49">
        <v>-64189.759487000003</v>
      </c>
      <c r="D49">
        <v>-6.8509615000017732</v>
      </c>
      <c r="E49">
        <v>0.33953899997868398</v>
      </c>
      <c r="F49">
        <v>0</v>
      </c>
      <c r="G49">
        <v>6</v>
      </c>
      <c r="H49">
        <v>6</v>
      </c>
      <c r="I49">
        <v>10</v>
      </c>
      <c r="J49">
        <v>0</v>
      </c>
      <c r="K49">
        <v>3</v>
      </c>
      <c r="L49">
        <v>3</v>
      </c>
    </row>
    <row r="50" spans="1:12" x14ac:dyDescent="0.3">
      <c r="A50" t="s">
        <v>45</v>
      </c>
      <c r="B50">
        <v>10</v>
      </c>
      <c r="C50">
        <v>-64206.330829999999</v>
      </c>
      <c r="D50">
        <v>-7.6116439999977388</v>
      </c>
      <c r="E50">
        <v>0.37780099998054695</v>
      </c>
      <c r="F50">
        <v>0</v>
      </c>
      <c r="G50">
        <v>7</v>
      </c>
      <c r="H50">
        <v>6</v>
      </c>
      <c r="I50">
        <v>12</v>
      </c>
      <c r="J50">
        <v>0</v>
      </c>
      <c r="K50">
        <v>4</v>
      </c>
      <c r="L50">
        <v>4</v>
      </c>
    </row>
    <row r="51" spans="1:12" x14ac:dyDescent="0.3">
      <c r="A51" t="s">
        <v>46</v>
      </c>
      <c r="B51">
        <v>11</v>
      </c>
      <c r="C51">
        <v>-64222.867629</v>
      </c>
      <c r="D51">
        <v>-8.3377824999990935</v>
      </c>
      <c r="E51">
        <v>0.45060699997702081</v>
      </c>
      <c r="F51">
        <v>0</v>
      </c>
      <c r="G51">
        <v>8</v>
      </c>
      <c r="H51">
        <v>8</v>
      </c>
      <c r="I51">
        <v>15</v>
      </c>
      <c r="J51">
        <v>0</v>
      </c>
      <c r="K51">
        <v>5</v>
      </c>
      <c r="L51">
        <v>5</v>
      </c>
    </row>
    <row r="52" spans="1:12" x14ac:dyDescent="0.3">
      <c r="A52" t="s">
        <v>47</v>
      </c>
      <c r="B52">
        <v>12</v>
      </c>
      <c r="C52">
        <v>-64239.428451</v>
      </c>
      <c r="D52">
        <v>-9.0879439999985436</v>
      </c>
      <c r="E52">
        <v>0.49938999997539923</v>
      </c>
      <c r="F52">
        <v>0</v>
      </c>
      <c r="G52">
        <v>9</v>
      </c>
      <c r="H52">
        <v>9</v>
      </c>
      <c r="I52">
        <v>18</v>
      </c>
      <c r="J52">
        <v>0</v>
      </c>
      <c r="K52">
        <v>6</v>
      </c>
      <c r="L52">
        <v>6</v>
      </c>
    </row>
    <row r="53" spans="1:12" x14ac:dyDescent="0.3">
      <c r="A53" t="s">
        <v>48</v>
      </c>
      <c r="B53">
        <v>13</v>
      </c>
      <c r="C53">
        <v>-64255.982251000001</v>
      </c>
      <c r="D53">
        <v>-9.8310835000000623</v>
      </c>
      <c r="E53">
        <v>0.55519499997170918</v>
      </c>
      <c r="F53">
        <v>0</v>
      </c>
      <c r="G53">
        <v>10</v>
      </c>
      <c r="H53">
        <v>10</v>
      </c>
      <c r="I53">
        <v>20</v>
      </c>
      <c r="J53">
        <v>0</v>
      </c>
      <c r="K53">
        <v>8</v>
      </c>
      <c r="L53">
        <v>8</v>
      </c>
    </row>
    <row r="54" spans="1:12" x14ac:dyDescent="0.3">
      <c r="A54" t="s">
        <v>49</v>
      </c>
      <c r="B54">
        <v>14</v>
      </c>
      <c r="C54">
        <v>-64272.532045</v>
      </c>
      <c r="D54">
        <v>-10.570216999998706</v>
      </c>
      <c r="E54">
        <v>0.61500599997089367</v>
      </c>
      <c r="F54">
        <v>0</v>
      </c>
      <c r="G54">
        <v>12</v>
      </c>
      <c r="H54">
        <v>11</v>
      </c>
      <c r="I54">
        <v>22</v>
      </c>
      <c r="J54">
        <v>0</v>
      </c>
      <c r="K54">
        <v>10</v>
      </c>
      <c r="L54">
        <v>10</v>
      </c>
    </row>
    <row r="55" spans="1:12" x14ac:dyDescent="0.3">
      <c r="A55" t="s">
        <v>50</v>
      </c>
      <c r="B55">
        <v>15</v>
      </c>
      <c r="C55">
        <v>-64289.054872000001</v>
      </c>
      <c r="D55">
        <v>-11.282383499999412</v>
      </c>
      <c r="E55">
        <v>0.70178399996801666</v>
      </c>
      <c r="F55">
        <v>0</v>
      </c>
      <c r="G55">
        <v>13</v>
      </c>
      <c r="H55">
        <v>13</v>
      </c>
      <c r="I55">
        <v>25</v>
      </c>
      <c r="J55">
        <v>0</v>
      </c>
      <c r="K55">
        <v>12</v>
      </c>
      <c r="L55">
        <v>12</v>
      </c>
    </row>
    <row r="56" spans="1:12" x14ac:dyDescent="0.3">
      <c r="A56" t="s">
        <v>51</v>
      </c>
      <c r="B56">
        <v>16</v>
      </c>
      <c r="C56">
        <v>-64305.607302999997</v>
      </c>
      <c r="D56">
        <v>-12.024153999995832</v>
      </c>
      <c r="E56">
        <v>0.75895799996942515</v>
      </c>
      <c r="F56">
        <v>0</v>
      </c>
      <c r="G56">
        <v>15</v>
      </c>
      <c r="H56">
        <v>14</v>
      </c>
      <c r="I56">
        <v>28</v>
      </c>
      <c r="J56">
        <v>0</v>
      </c>
      <c r="K56">
        <v>14</v>
      </c>
      <c r="L56">
        <v>14</v>
      </c>
    </row>
    <row r="57" spans="1:12" x14ac:dyDescent="0.3">
      <c r="A57" t="s">
        <v>52</v>
      </c>
      <c r="B57">
        <v>17</v>
      </c>
      <c r="C57">
        <v>-64322.127703999999</v>
      </c>
      <c r="D57">
        <v>-12.733894499997405</v>
      </c>
      <c r="E57">
        <v>0.84816199996568109</v>
      </c>
      <c r="F57">
        <v>0</v>
      </c>
      <c r="G57">
        <v>16</v>
      </c>
      <c r="H57">
        <v>16</v>
      </c>
      <c r="I57">
        <v>32</v>
      </c>
      <c r="J57">
        <v>0</v>
      </c>
      <c r="K57">
        <v>16</v>
      </c>
      <c r="L57">
        <v>16</v>
      </c>
    </row>
    <row r="58" spans="1:12" x14ac:dyDescent="0.3">
      <c r="A58" t="s">
        <v>53</v>
      </c>
      <c r="B58">
        <v>18</v>
      </c>
      <c r="C58">
        <v>-64338.647261999999</v>
      </c>
      <c r="D58">
        <v>-13.442791999997382</v>
      </c>
      <c r="E58">
        <v>0.93820899996353191</v>
      </c>
      <c r="F58">
        <v>0</v>
      </c>
      <c r="G58">
        <v>18</v>
      </c>
      <c r="H58">
        <v>18</v>
      </c>
      <c r="I58">
        <v>36</v>
      </c>
      <c r="J58">
        <v>0</v>
      </c>
      <c r="K58">
        <v>18</v>
      </c>
      <c r="L58">
        <v>18</v>
      </c>
    </row>
    <row r="59" spans="1:12" x14ac:dyDescent="0.3">
      <c r="A59" t="s">
        <v>54</v>
      </c>
      <c r="B59">
        <v>19</v>
      </c>
      <c r="C59">
        <v>-64353.736316000002</v>
      </c>
      <c r="D59">
        <v>-12.72118550000107</v>
      </c>
      <c r="E59">
        <v>2.4587599999576728</v>
      </c>
      <c r="F59">
        <v>18</v>
      </c>
      <c r="G59">
        <v>11</v>
      </c>
      <c r="H59">
        <v>9</v>
      </c>
      <c r="I59">
        <v>19</v>
      </c>
      <c r="J59">
        <v>37</v>
      </c>
      <c r="K59">
        <v>10</v>
      </c>
      <c r="L59">
        <v>11</v>
      </c>
    </row>
    <row r="60" spans="1:12" x14ac:dyDescent="0.3">
      <c r="A60" t="s">
        <v>55</v>
      </c>
      <c r="B60">
        <v>19</v>
      </c>
      <c r="C60">
        <v>-64354.850614000003</v>
      </c>
      <c r="D60">
        <v>-13.835483500001487</v>
      </c>
      <c r="E60">
        <v>1.3444619999572556</v>
      </c>
      <c r="F60">
        <v>4</v>
      </c>
      <c r="G60">
        <v>18</v>
      </c>
      <c r="H60">
        <v>18</v>
      </c>
      <c r="I60">
        <v>36</v>
      </c>
      <c r="J60">
        <v>8</v>
      </c>
      <c r="K60">
        <v>18</v>
      </c>
      <c r="L60">
        <v>18</v>
      </c>
    </row>
    <row r="61" spans="1:12" x14ac:dyDescent="0.3">
      <c r="A61" t="s">
        <v>56</v>
      </c>
      <c r="B61">
        <v>20</v>
      </c>
      <c r="C61">
        <v>-64371.048871999999</v>
      </c>
      <c r="D61">
        <v>-14.22308099999816</v>
      </c>
      <c r="E61">
        <v>1.7558089999584112</v>
      </c>
      <c r="F61">
        <v>8</v>
      </c>
      <c r="G61">
        <v>18</v>
      </c>
      <c r="H61">
        <v>18</v>
      </c>
      <c r="I61">
        <v>36</v>
      </c>
      <c r="J61">
        <v>16</v>
      </c>
      <c r="K61">
        <v>18</v>
      </c>
      <c r="L61">
        <v>18</v>
      </c>
    </row>
    <row r="62" spans="1:12" x14ac:dyDescent="0.3">
      <c r="A62" t="s">
        <v>57</v>
      </c>
      <c r="B62">
        <v>21</v>
      </c>
      <c r="C62">
        <v>-64386.647809000002</v>
      </c>
      <c r="D62">
        <v>-14.011357500000656</v>
      </c>
      <c r="E62">
        <v>2.7664769999537455</v>
      </c>
      <c r="F62">
        <v>22</v>
      </c>
      <c r="G62">
        <v>10</v>
      </c>
      <c r="H62">
        <v>14</v>
      </c>
      <c r="I62">
        <v>19</v>
      </c>
      <c r="J62">
        <v>51</v>
      </c>
      <c r="K62">
        <v>17</v>
      </c>
      <c r="L62">
        <v>10</v>
      </c>
    </row>
    <row r="63" spans="1:12" x14ac:dyDescent="0.3">
      <c r="A63" t="s">
        <v>58</v>
      </c>
      <c r="B63">
        <v>21</v>
      </c>
      <c r="C63">
        <v>-64387.175080000001</v>
      </c>
      <c r="D63">
        <v>-14.538628499999675</v>
      </c>
      <c r="E63">
        <v>2.2392059999547271</v>
      </c>
      <c r="F63">
        <v>12</v>
      </c>
      <c r="G63">
        <v>18</v>
      </c>
      <c r="H63">
        <v>19</v>
      </c>
      <c r="I63">
        <v>36</v>
      </c>
      <c r="J63">
        <v>24</v>
      </c>
      <c r="K63">
        <v>18</v>
      </c>
      <c r="L63">
        <v>19</v>
      </c>
    </row>
    <row r="64" spans="1:12" x14ac:dyDescent="0.3">
      <c r="A64" t="s">
        <v>59</v>
      </c>
      <c r="B64">
        <v>22</v>
      </c>
      <c r="C64">
        <v>-64403.202340999997</v>
      </c>
      <c r="D64">
        <v>-14.755228999995325</v>
      </c>
      <c r="E64">
        <v>2.821549999956904</v>
      </c>
      <c r="F64">
        <v>16</v>
      </c>
      <c r="G64">
        <v>18</v>
      </c>
      <c r="H64">
        <v>19</v>
      </c>
      <c r="I64">
        <v>37</v>
      </c>
      <c r="J64">
        <v>32</v>
      </c>
      <c r="K64">
        <v>18</v>
      </c>
      <c r="L64">
        <v>19</v>
      </c>
    </row>
    <row r="65" spans="1:12" x14ac:dyDescent="0.3">
      <c r="A65" t="s">
        <v>60</v>
      </c>
      <c r="B65">
        <v>23</v>
      </c>
      <c r="C65">
        <v>-64419.298430000003</v>
      </c>
      <c r="D65">
        <v>-15.040657500001373</v>
      </c>
      <c r="E65">
        <v>3.3350659999486822</v>
      </c>
      <c r="F65">
        <v>20</v>
      </c>
      <c r="G65">
        <v>18</v>
      </c>
      <c r="H65">
        <v>19</v>
      </c>
      <c r="I65">
        <v>38</v>
      </c>
      <c r="J65">
        <v>40</v>
      </c>
      <c r="K65">
        <v>19</v>
      </c>
      <c r="L65">
        <v>19</v>
      </c>
    </row>
    <row r="66" spans="1:12" x14ac:dyDescent="0.3">
      <c r="A66" t="s">
        <v>61</v>
      </c>
      <c r="B66">
        <v>24</v>
      </c>
      <c r="C66">
        <v>-64434.027554</v>
      </c>
      <c r="D66">
        <v>-13.959120999999016</v>
      </c>
      <c r="E66">
        <v>5.2155469999488702</v>
      </c>
      <c r="F66">
        <v>35</v>
      </c>
      <c r="G66">
        <v>16</v>
      </c>
      <c r="H66">
        <v>16</v>
      </c>
      <c r="I66">
        <v>31</v>
      </c>
      <c r="J66">
        <v>62</v>
      </c>
      <c r="K66">
        <v>15</v>
      </c>
      <c r="L66">
        <v>17</v>
      </c>
    </row>
    <row r="67" spans="1:12" x14ac:dyDescent="0.3">
      <c r="A67" t="s">
        <v>62</v>
      </c>
      <c r="B67">
        <v>24</v>
      </c>
      <c r="C67">
        <v>-64435.361467000002</v>
      </c>
      <c r="D67">
        <v>-15.293034000001228</v>
      </c>
      <c r="E67">
        <v>3.8816339999466578</v>
      </c>
      <c r="F67">
        <v>24</v>
      </c>
      <c r="G67">
        <v>19</v>
      </c>
      <c r="H67">
        <v>20</v>
      </c>
      <c r="I67">
        <v>39</v>
      </c>
      <c r="J67">
        <v>48</v>
      </c>
      <c r="K67">
        <v>19</v>
      </c>
      <c r="L67">
        <v>20</v>
      </c>
    </row>
    <row r="68" spans="1:12" x14ac:dyDescent="0.3">
      <c r="A68" t="s">
        <v>63</v>
      </c>
      <c r="B68">
        <v>25</v>
      </c>
      <c r="C68">
        <v>-64451.440687000002</v>
      </c>
      <c r="D68">
        <v>-15.561593500000868</v>
      </c>
      <c r="E68">
        <v>4.4120189999448485</v>
      </c>
      <c r="F68">
        <v>28</v>
      </c>
      <c r="G68">
        <v>19</v>
      </c>
      <c r="H68">
        <v>21</v>
      </c>
      <c r="I68">
        <v>41</v>
      </c>
      <c r="J68">
        <v>56</v>
      </c>
      <c r="K68">
        <v>20</v>
      </c>
      <c r="L68">
        <v>20</v>
      </c>
    </row>
    <row r="69" spans="1:12" x14ac:dyDescent="0.3">
      <c r="A69" t="s">
        <v>64</v>
      </c>
      <c r="B69">
        <v>26</v>
      </c>
      <c r="C69">
        <v>-64466.065038000001</v>
      </c>
      <c r="D69">
        <v>-14.375283999999453</v>
      </c>
      <c r="E69">
        <v>6.3972729999440894</v>
      </c>
      <c r="F69">
        <v>37</v>
      </c>
      <c r="G69">
        <v>19</v>
      </c>
      <c r="H69">
        <v>19</v>
      </c>
      <c r="I69">
        <v>36</v>
      </c>
      <c r="J69">
        <v>75</v>
      </c>
      <c r="K69">
        <v>18</v>
      </c>
      <c r="L69">
        <v>19</v>
      </c>
    </row>
    <row r="70" spans="1:12" x14ac:dyDescent="0.3">
      <c r="A70" t="s">
        <v>65</v>
      </c>
      <c r="B70">
        <v>26</v>
      </c>
      <c r="C70">
        <v>-64467.443492999999</v>
      </c>
      <c r="D70">
        <v>-15.753738999997665</v>
      </c>
      <c r="E70">
        <v>5.0188179999458775</v>
      </c>
      <c r="F70">
        <v>32</v>
      </c>
      <c r="G70">
        <v>20</v>
      </c>
      <c r="H70">
        <v>22</v>
      </c>
      <c r="I70">
        <v>43</v>
      </c>
      <c r="J70">
        <v>64</v>
      </c>
      <c r="K70">
        <v>21</v>
      </c>
      <c r="L70">
        <v>20</v>
      </c>
    </row>
    <row r="71" spans="1:12" x14ac:dyDescent="0.3">
      <c r="A71" t="s">
        <v>66</v>
      </c>
      <c r="B71">
        <v>27</v>
      </c>
      <c r="C71">
        <v>-64483.411563000001</v>
      </c>
      <c r="D71">
        <v>-15.911148500000252</v>
      </c>
      <c r="E71">
        <v>5.660352999941118</v>
      </c>
      <c r="F71">
        <v>36</v>
      </c>
      <c r="G71">
        <v>21</v>
      </c>
      <c r="H71">
        <v>22</v>
      </c>
      <c r="I71">
        <v>46</v>
      </c>
      <c r="J71">
        <v>72</v>
      </c>
      <c r="K71">
        <v>21</v>
      </c>
      <c r="L71">
        <v>21</v>
      </c>
    </row>
    <row r="72" spans="1:12" x14ac:dyDescent="0.3">
      <c r="A72" t="s">
        <v>67</v>
      </c>
      <c r="B72">
        <v>27</v>
      </c>
      <c r="C72">
        <v>-64482.939120000003</v>
      </c>
      <c r="D72">
        <v>-15.438705500001504</v>
      </c>
      <c r="E72">
        <v>6.1327959999398658</v>
      </c>
      <c r="F72">
        <v>36</v>
      </c>
      <c r="G72">
        <v>18</v>
      </c>
      <c r="H72">
        <v>18</v>
      </c>
      <c r="I72">
        <v>54</v>
      </c>
      <c r="J72">
        <v>72</v>
      </c>
      <c r="K72">
        <v>27</v>
      </c>
      <c r="L72">
        <v>27</v>
      </c>
    </row>
    <row r="73" spans="1:12" x14ac:dyDescent="0.3">
      <c r="A73" t="s">
        <v>68</v>
      </c>
      <c r="B73">
        <v>28</v>
      </c>
      <c r="C73">
        <v>-64499.213665000003</v>
      </c>
      <c r="D73">
        <v>-15.902590000001737</v>
      </c>
      <c r="E73">
        <v>6.4678559999374627</v>
      </c>
      <c r="F73">
        <v>41</v>
      </c>
      <c r="G73">
        <v>22</v>
      </c>
      <c r="H73">
        <v>21</v>
      </c>
      <c r="I73">
        <v>44</v>
      </c>
      <c r="J73">
        <v>90</v>
      </c>
      <c r="K73">
        <v>22</v>
      </c>
      <c r="L73">
        <v>20</v>
      </c>
    </row>
    <row r="74" spans="1:12" x14ac:dyDescent="0.3">
      <c r="A74" t="s">
        <v>69</v>
      </c>
      <c r="B74">
        <v>28</v>
      </c>
      <c r="C74">
        <v>-64499.238949999999</v>
      </c>
      <c r="D74">
        <v>-15.927874999997812</v>
      </c>
      <c r="E74">
        <v>6.4425709999413883</v>
      </c>
      <c r="F74">
        <v>40</v>
      </c>
      <c r="G74">
        <v>22</v>
      </c>
      <c r="H74">
        <v>22</v>
      </c>
      <c r="I74">
        <v>49</v>
      </c>
      <c r="J74">
        <v>80</v>
      </c>
      <c r="K74">
        <v>22</v>
      </c>
      <c r="L74">
        <v>22</v>
      </c>
    </row>
    <row r="75" spans="1:12" x14ac:dyDescent="0.3">
      <c r="A75" t="s">
        <v>70</v>
      </c>
      <c r="B75">
        <v>28</v>
      </c>
      <c r="C75">
        <v>-64498.946602000004</v>
      </c>
      <c r="D75">
        <v>-15.635527000002412</v>
      </c>
      <c r="E75">
        <v>6.734918999936788</v>
      </c>
      <c r="F75">
        <v>40</v>
      </c>
      <c r="G75">
        <v>20</v>
      </c>
      <c r="H75">
        <v>20</v>
      </c>
      <c r="I75">
        <v>54</v>
      </c>
      <c r="J75">
        <v>80</v>
      </c>
      <c r="K75">
        <v>27</v>
      </c>
      <c r="L75">
        <v>27</v>
      </c>
    </row>
    <row r="76" spans="1:12" x14ac:dyDescent="0.3">
      <c r="A76" t="s">
        <v>71</v>
      </c>
      <c r="B76">
        <v>29</v>
      </c>
      <c r="C76">
        <v>-64514.935187000003</v>
      </c>
      <c r="D76">
        <v>-15.813451500001577</v>
      </c>
      <c r="E76">
        <v>7.3559389999354536</v>
      </c>
      <c r="F76">
        <v>44</v>
      </c>
      <c r="G76">
        <v>22</v>
      </c>
      <c r="H76">
        <v>22</v>
      </c>
      <c r="I76">
        <v>54</v>
      </c>
      <c r="J76">
        <v>88</v>
      </c>
      <c r="K76">
        <v>27</v>
      </c>
      <c r="L76">
        <v>28</v>
      </c>
    </row>
    <row r="77" spans="1:12" x14ac:dyDescent="0.3">
      <c r="A77" t="s">
        <v>72</v>
      </c>
      <c r="B77">
        <v>30</v>
      </c>
      <c r="C77">
        <v>-64531.031221999998</v>
      </c>
      <c r="D77">
        <v>-16.09882599999662</v>
      </c>
      <c r="E77">
        <v>7.8695089999382368</v>
      </c>
      <c r="F77">
        <v>49</v>
      </c>
      <c r="G77">
        <v>25</v>
      </c>
      <c r="H77">
        <v>26</v>
      </c>
      <c r="I77">
        <v>48</v>
      </c>
      <c r="J77">
        <v>100</v>
      </c>
      <c r="K77">
        <v>24</v>
      </c>
      <c r="L77">
        <v>26</v>
      </c>
    </row>
    <row r="78" spans="1:12" x14ac:dyDescent="0.3">
      <c r="A78" t="s">
        <v>73</v>
      </c>
      <c r="B78">
        <v>30</v>
      </c>
      <c r="C78">
        <v>-64530.899217999999</v>
      </c>
      <c r="D78">
        <v>-15.966821999997478</v>
      </c>
      <c r="E78">
        <v>8.0015129999373791</v>
      </c>
      <c r="F78">
        <v>48</v>
      </c>
      <c r="G78">
        <v>24</v>
      </c>
      <c r="H78">
        <v>24</v>
      </c>
      <c r="I78">
        <v>54</v>
      </c>
      <c r="J78">
        <v>96</v>
      </c>
      <c r="K78">
        <v>27</v>
      </c>
      <c r="L78">
        <v>30</v>
      </c>
    </row>
    <row r="79" spans="1:12" x14ac:dyDescent="0.3">
      <c r="A79" t="s">
        <v>74</v>
      </c>
      <c r="B79">
        <v>31</v>
      </c>
      <c r="C79">
        <v>-64546.910004999998</v>
      </c>
      <c r="D79">
        <v>-16.166948499996693</v>
      </c>
      <c r="E79">
        <v>8.6003309999359914</v>
      </c>
      <c r="F79">
        <v>52</v>
      </c>
      <c r="G79">
        <v>26</v>
      </c>
      <c r="H79">
        <v>26</v>
      </c>
      <c r="I79">
        <v>52</v>
      </c>
      <c r="J79">
        <v>108</v>
      </c>
      <c r="K79">
        <v>27</v>
      </c>
      <c r="L79">
        <v>27</v>
      </c>
    </row>
    <row r="80" spans="1:12" x14ac:dyDescent="0.3">
      <c r="A80" t="s">
        <v>75</v>
      </c>
      <c r="B80">
        <v>31</v>
      </c>
      <c r="C80">
        <v>-64546.692536000002</v>
      </c>
      <c r="D80">
        <v>-15.949479500001075</v>
      </c>
      <c r="E80">
        <v>8.8177999999316086</v>
      </c>
      <c r="F80">
        <v>52</v>
      </c>
      <c r="G80">
        <v>26</v>
      </c>
      <c r="H80">
        <v>26</v>
      </c>
      <c r="I80">
        <v>56</v>
      </c>
      <c r="J80">
        <v>104</v>
      </c>
      <c r="K80">
        <v>28</v>
      </c>
      <c r="L80">
        <v>30</v>
      </c>
    </row>
    <row r="81" spans="1:12" x14ac:dyDescent="0.3">
      <c r="A81" t="s">
        <v>76</v>
      </c>
      <c r="B81">
        <v>32</v>
      </c>
      <c r="C81">
        <v>-64562.480585999998</v>
      </c>
      <c r="D81">
        <v>-15.926868999996657</v>
      </c>
      <c r="E81">
        <v>9.6393549999338575</v>
      </c>
      <c r="F81">
        <v>56</v>
      </c>
      <c r="G81">
        <v>28</v>
      </c>
      <c r="H81">
        <v>28</v>
      </c>
      <c r="I81">
        <v>58</v>
      </c>
      <c r="J81">
        <v>112</v>
      </c>
      <c r="K81">
        <v>30</v>
      </c>
      <c r="L81">
        <v>30</v>
      </c>
    </row>
    <row r="82" spans="1:12" x14ac:dyDescent="0.3">
      <c r="A82" t="s">
        <v>77</v>
      </c>
      <c r="B82">
        <v>33</v>
      </c>
      <c r="C82">
        <v>-64578.184023000002</v>
      </c>
      <c r="D82">
        <v>-15.819645500000433</v>
      </c>
      <c r="E82">
        <v>10.545522999927911</v>
      </c>
      <c r="F82">
        <v>60</v>
      </c>
      <c r="G82">
        <v>30</v>
      </c>
      <c r="H82">
        <v>31</v>
      </c>
      <c r="I82">
        <v>60</v>
      </c>
      <c r="J82">
        <v>121</v>
      </c>
      <c r="K82">
        <v>30</v>
      </c>
      <c r="L82">
        <v>30</v>
      </c>
    </row>
    <row r="83" spans="1:12" x14ac:dyDescent="0.3">
      <c r="A83" t="s">
        <v>78</v>
      </c>
      <c r="B83">
        <v>33</v>
      </c>
      <c r="C83">
        <v>-64578.127980999998</v>
      </c>
      <c r="D83">
        <v>-15.763603499996634</v>
      </c>
      <c r="E83">
        <v>10.601564999931711</v>
      </c>
      <c r="F83">
        <v>60</v>
      </c>
      <c r="G83">
        <v>30</v>
      </c>
      <c r="H83">
        <v>30</v>
      </c>
      <c r="I83">
        <v>61</v>
      </c>
      <c r="J83">
        <v>120</v>
      </c>
      <c r="K83">
        <v>31</v>
      </c>
      <c r="L83">
        <v>31</v>
      </c>
    </row>
    <row r="84" spans="1:12" x14ac:dyDescent="0.3">
      <c r="A84" t="s">
        <v>79</v>
      </c>
      <c r="B84">
        <v>34</v>
      </c>
      <c r="C84">
        <v>-64593.719953</v>
      </c>
      <c r="D84">
        <v>-15.544914999998582</v>
      </c>
      <c r="E84">
        <v>11.619197999927589</v>
      </c>
      <c r="F84">
        <v>64</v>
      </c>
      <c r="G84">
        <v>32</v>
      </c>
      <c r="H84">
        <v>32</v>
      </c>
      <c r="I84">
        <v>64</v>
      </c>
      <c r="J84">
        <v>128</v>
      </c>
      <c r="K84">
        <v>32</v>
      </c>
      <c r="L84">
        <v>33</v>
      </c>
    </row>
    <row r="85" spans="1:12" x14ac:dyDescent="0.3">
      <c r="A85" t="s">
        <v>80</v>
      </c>
      <c r="B85">
        <v>35</v>
      </c>
      <c r="C85">
        <v>-64609.211774000003</v>
      </c>
      <c r="D85">
        <v>-15.226075500001912</v>
      </c>
      <c r="E85">
        <v>12.736981999922087</v>
      </c>
      <c r="F85">
        <v>68</v>
      </c>
      <c r="G85">
        <v>34</v>
      </c>
      <c r="H85">
        <v>34</v>
      </c>
      <c r="I85">
        <v>68</v>
      </c>
      <c r="J85">
        <v>136</v>
      </c>
      <c r="K85">
        <v>34</v>
      </c>
      <c r="L85">
        <v>34</v>
      </c>
    </row>
    <row r="86" spans="1:12" x14ac:dyDescent="0.3">
      <c r="A86" t="s">
        <v>81</v>
      </c>
      <c r="B86">
        <v>36</v>
      </c>
      <c r="C86">
        <v>-64624.653096000002</v>
      </c>
      <c r="D86">
        <v>-14.856737000000635</v>
      </c>
      <c r="E86">
        <v>13.905264999921194</v>
      </c>
      <c r="F86">
        <v>72</v>
      </c>
      <c r="G86">
        <v>36</v>
      </c>
      <c r="H86">
        <v>36</v>
      </c>
      <c r="I86">
        <v>72</v>
      </c>
      <c r="J86">
        <v>144</v>
      </c>
      <c r="K86">
        <v>36</v>
      </c>
      <c r="L86">
        <v>36</v>
      </c>
    </row>
  </sheetData>
  <mergeCells count="6">
    <mergeCell ref="F5:L5"/>
    <mergeCell ref="D5:D6"/>
    <mergeCell ref="E5:E6"/>
    <mergeCell ref="A5:A6"/>
    <mergeCell ref="C5:C6"/>
    <mergeCell ref="B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21C1-91BD-4240-8B65-85F8FA1BD9C6}">
  <dimension ref="A1:N81"/>
  <sheetViews>
    <sheetView workbookViewId="0">
      <selection activeCell="Q16" sqref="Q16"/>
    </sheetView>
  </sheetViews>
  <sheetFormatPr defaultColWidth="10.88671875" defaultRowHeight="14.4" x14ac:dyDescent="0.3"/>
  <cols>
    <col min="1" max="1" width="27.21875" bestFit="1" customWidth="1"/>
    <col min="2" max="2" width="4.21875" bestFit="1" customWidth="1"/>
    <col min="3" max="3" width="12.6640625" bestFit="1" customWidth="1"/>
    <col min="4" max="4" width="11.6640625" bestFit="1" customWidth="1"/>
    <col min="5" max="5" width="10.21875" bestFit="1" customWidth="1"/>
    <col min="6" max="6" width="4" bestFit="1" customWidth="1"/>
    <col min="7" max="11" width="4.21875" bestFit="1" customWidth="1"/>
    <col min="12" max="12" width="5.21875" bestFit="1" customWidth="1"/>
  </cols>
  <sheetData>
    <row r="1" spans="1:14" x14ac:dyDescent="0.3">
      <c r="A1" s="2" t="s">
        <v>84</v>
      </c>
      <c r="B1" s="2" t="s">
        <v>86</v>
      </c>
      <c r="C1" s="2" t="s">
        <v>85</v>
      </c>
      <c r="D1" s="2" t="s">
        <v>0</v>
      </c>
      <c r="E1" s="2" t="s">
        <v>83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91</v>
      </c>
      <c r="N1" t="s">
        <v>92</v>
      </c>
    </row>
    <row r="2" spans="1:14" x14ac:dyDescent="0.3">
      <c r="A2" t="s">
        <v>1</v>
      </c>
      <c r="B2">
        <v>1</v>
      </c>
      <c r="C2">
        <v>-64057.222185999999</v>
      </c>
      <c r="D2">
        <v>-0.79894449999782857</v>
      </c>
      <c r="E2" s="1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f>SUM(F2:L2)</f>
        <v>0</v>
      </c>
    </row>
    <row r="3" spans="1:14" x14ac:dyDescent="0.3">
      <c r="A3" t="s">
        <v>4</v>
      </c>
      <c r="B3">
        <v>2</v>
      </c>
      <c r="C3">
        <v>-64073.824418999997</v>
      </c>
      <c r="D3">
        <v>-1.590516999995625</v>
      </c>
      <c r="E3">
        <v>7.3720000000321306E-3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f t="shared" ref="M3:M66" si="0">SUM(F3:L3)</f>
        <v>1</v>
      </c>
    </row>
    <row r="4" spans="1:14" x14ac:dyDescent="0.3">
      <c r="A4" t="s">
        <v>3</v>
      </c>
      <c r="B4">
        <v>2</v>
      </c>
      <c r="C4">
        <v>-64073.795804000001</v>
      </c>
      <c r="D4">
        <v>-1.5619019999999999</v>
      </c>
      <c r="E4">
        <v>3.5986999995657243E-2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1</v>
      </c>
    </row>
    <row r="5" spans="1:14" x14ac:dyDescent="0.3">
      <c r="A5" t="s">
        <v>2</v>
      </c>
      <c r="B5">
        <v>2</v>
      </c>
      <c r="C5">
        <v>-64073.78368</v>
      </c>
      <c r="D5">
        <v>-1.5497779999992325</v>
      </c>
      <c r="E5">
        <v>4.8110999996424653E-2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1</v>
      </c>
    </row>
    <row r="6" spans="1:14" x14ac:dyDescent="0.3">
      <c r="A6" t="s">
        <v>5</v>
      </c>
      <c r="B6">
        <v>2</v>
      </c>
      <c r="C6">
        <v>-64073.826342</v>
      </c>
      <c r="D6">
        <v>-1.592439999999069</v>
      </c>
      <c r="E6">
        <v>5.4489999965880997E-3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f t="shared" si="0"/>
        <v>1</v>
      </c>
    </row>
    <row r="7" spans="1:14" x14ac:dyDescent="0.3">
      <c r="A7" t="s">
        <v>9</v>
      </c>
      <c r="B7">
        <v>2</v>
      </c>
      <c r="C7">
        <v>-64073.826313999998</v>
      </c>
      <c r="D7">
        <v>-1.592411999996866</v>
      </c>
      <c r="E7">
        <v>5.4769999987911433E-3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0</v>
      </c>
    </row>
    <row r="8" spans="1:14" x14ac:dyDescent="0.3">
      <c r="A8" t="s">
        <v>6</v>
      </c>
      <c r="B8">
        <v>2</v>
      </c>
      <c r="C8">
        <v>-64073.820822000001</v>
      </c>
      <c r="D8">
        <v>-1.5869200000002728</v>
      </c>
      <c r="E8">
        <v>1.0968999995384365E-2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f t="shared" si="0"/>
        <v>1</v>
      </c>
    </row>
    <row r="9" spans="1:14" x14ac:dyDescent="0.3">
      <c r="A9" t="s">
        <v>7</v>
      </c>
      <c r="B9">
        <v>2</v>
      </c>
      <c r="C9">
        <v>-64073.820087</v>
      </c>
      <c r="D9">
        <v>-1.5861849999988316</v>
      </c>
      <c r="E9">
        <v>1.1703999996825587E-2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f t="shared" si="0"/>
        <v>1</v>
      </c>
    </row>
    <row r="10" spans="1:14" x14ac:dyDescent="0.3">
      <c r="A10" t="s">
        <v>10</v>
      </c>
      <c r="B10">
        <v>3</v>
      </c>
      <c r="C10">
        <v>-64090.389736999998</v>
      </c>
      <c r="D10">
        <v>-2.3451744999964674</v>
      </c>
      <c r="E10">
        <v>5.1658999997018284E-2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f t="shared" si="0"/>
        <v>3</v>
      </c>
    </row>
    <row r="11" spans="1:14" x14ac:dyDescent="0.3">
      <c r="A11" t="s">
        <v>11</v>
      </c>
      <c r="B11">
        <v>3</v>
      </c>
      <c r="C11">
        <v>-64090.298674999998</v>
      </c>
      <c r="D11">
        <v>-2.2541124999969568</v>
      </c>
      <c r="E11">
        <v>0.14272099999652887</v>
      </c>
      <c r="F11">
        <v>2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f t="shared" si="0"/>
        <v>3</v>
      </c>
    </row>
    <row r="12" spans="1:14" x14ac:dyDescent="0.3">
      <c r="A12" t="s">
        <v>12</v>
      </c>
      <c r="B12">
        <v>3</v>
      </c>
      <c r="C12">
        <v>-64090.375950000001</v>
      </c>
      <c r="D12">
        <v>-2.3313875000002398</v>
      </c>
      <c r="E12">
        <v>6.5445999993245962E-2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f t="shared" si="0"/>
        <v>2</v>
      </c>
    </row>
    <row r="13" spans="1:14" x14ac:dyDescent="0.3">
      <c r="A13" t="s">
        <v>13</v>
      </c>
      <c r="B13">
        <v>3</v>
      </c>
      <c r="C13">
        <v>-64090.397914000001</v>
      </c>
      <c r="D13">
        <v>-2.3533514999998104</v>
      </c>
      <c r="E13">
        <v>4.3481999993675302E-2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f t="shared" si="0"/>
        <v>2</v>
      </c>
    </row>
    <row r="14" spans="1:14" x14ac:dyDescent="0.3">
      <c r="A14" t="s">
        <v>14</v>
      </c>
      <c r="B14">
        <v>3</v>
      </c>
      <c r="C14">
        <v>-64090.412712999998</v>
      </c>
      <c r="D14">
        <v>-2.3681504999966663</v>
      </c>
      <c r="E14">
        <v>2.8682999996819447E-2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f t="shared" si="0"/>
        <v>2</v>
      </c>
    </row>
    <row r="15" spans="1:14" x14ac:dyDescent="0.3">
      <c r="A15" t="s">
        <v>15</v>
      </c>
      <c r="B15">
        <v>3</v>
      </c>
      <c r="C15">
        <v>-64090.372091999998</v>
      </c>
      <c r="D15">
        <v>-2.3275294999965652</v>
      </c>
      <c r="E15">
        <v>6.9303999996920496E-2</v>
      </c>
      <c r="F15">
        <v>0</v>
      </c>
      <c r="G15">
        <v>2</v>
      </c>
      <c r="H15">
        <v>0</v>
      </c>
      <c r="I15">
        <v>0</v>
      </c>
      <c r="J15">
        <v>0</v>
      </c>
      <c r="K15">
        <v>1</v>
      </c>
      <c r="L15">
        <v>0</v>
      </c>
      <c r="M15">
        <f t="shared" si="0"/>
        <v>3</v>
      </c>
    </row>
    <row r="16" spans="1:14" x14ac:dyDescent="0.3">
      <c r="A16" t="s">
        <v>16</v>
      </c>
      <c r="B16">
        <v>3</v>
      </c>
      <c r="C16">
        <v>-64090.429834000002</v>
      </c>
      <c r="D16">
        <v>-2.3852715000010747</v>
      </c>
      <c r="E16">
        <v>1.1561999992411032E-2</v>
      </c>
      <c r="F16">
        <v>0</v>
      </c>
      <c r="G16">
        <v>0</v>
      </c>
      <c r="H16">
        <v>0</v>
      </c>
      <c r="I16">
        <v>3</v>
      </c>
      <c r="J16">
        <v>0</v>
      </c>
      <c r="K16">
        <v>0</v>
      </c>
      <c r="L16">
        <v>0</v>
      </c>
      <c r="M16">
        <f t="shared" si="0"/>
        <v>3</v>
      </c>
    </row>
    <row r="17" spans="1:13" x14ac:dyDescent="0.3">
      <c r="A17" t="s">
        <v>17</v>
      </c>
      <c r="B17">
        <v>4</v>
      </c>
      <c r="C17">
        <v>-64106.964669000001</v>
      </c>
      <c r="D17">
        <v>-3.1094459999996431</v>
      </c>
      <c r="E17">
        <v>8.6331999991671182E-2</v>
      </c>
      <c r="F17">
        <v>0</v>
      </c>
      <c r="G17">
        <v>2</v>
      </c>
      <c r="H17">
        <v>1</v>
      </c>
      <c r="I17">
        <v>2</v>
      </c>
      <c r="J17">
        <v>0</v>
      </c>
      <c r="K17">
        <v>0</v>
      </c>
      <c r="L17">
        <v>0</v>
      </c>
      <c r="M17">
        <f t="shared" si="0"/>
        <v>5</v>
      </c>
    </row>
    <row r="18" spans="1:13" x14ac:dyDescent="0.3">
      <c r="A18" t="s">
        <v>18</v>
      </c>
      <c r="B18">
        <v>4</v>
      </c>
      <c r="C18">
        <v>-64106.916719000001</v>
      </c>
      <c r="D18">
        <v>-3.061495999999515</v>
      </c>
      <c r="E18">
        <v>0.13428199999179924</v>
      </c>
      <c r="F18">
        <v>2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f t="shared" si="0"/>
        <v>6</v>
      </c>
    </row>
    <row r="19" spans="1:13" x14ac:dyDescent="0.3">
      <c r="A19" t="s">
        <v>19</v>
      </c>
      <c r="B19">
        <v>4</v>
      </c>
      <c r="C19">
        <v>-64106.969994999999</v>
      </c>
      <c r="D19">
        <v>-3.1147719999982471</v>
      </c>
      <c r="E19">
        <v>8.1005999993067235E-2</v>
      </c>
      <c r="F19">
        <v>0</v>
      </c>
      <c r="G19">
        <v>2</v>
      </c>
      <c r="H19">
        <v>1</v>
      </c>
      <c r="I19">
        <v>2</v>
      </c>
      <c r="J19">
        <v>0</v>
      </c>
      <c r="K19">
        <v>1</v>
      </c>
      <c r="L19">
        <v>0</v>
      </c>
      <c r="M19">
        <f t="shared" si="0"/>
        <v>6</v>
      </c>
    </row>
    <row r="20" spans="1:13" x14ac:dyDescent="0.3">
      <c r="A20" t="s">
        <v>20</v>
      </c>
      <c r="B20">
        <v>4</v>
      </c>
      <c r="C20">
        <v>-64106.815552</v>
      </c>
      <c r="D20">
        <v>-2.9603289999988007</v>
      </c>
      <c r="E20">
        <v>0.23544899999251356</v>
      </c>
      <c r="F20">
        <v>3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f t="shared" si="0"/>
        <v>6</v>
      </c>
    </row>
    <row r="21" spans="1:13" x14ac:dyDescent="0.3">
      <c r="A21" t="s">
        <v>21</v>
      </c>
      <c r="B21">
        <v>4</v>
      </c>
      <c r="C21">
        <v>-64106.968430000001</v>
      </c>
      <c r="D21">
        <v>-3.1132069999995835</v>
      </c>
      <c r="E21">
        <v>8.2570999991730787E-2</v>
      </c>
      <c r="F21">
        <v>0</v>
      </c>
      <c r="G21">
        <v>2</v>
      </c>
      <c r="H21">
        <v>1</v>
      </c>
      <c r="I21">
        <v>1</v>
      </c>
      <c r="J21">
        <v>0</v>
      </c>
      <c r="K21">
        <v>1</v>
      </c>
      <c r="L21">
        <v>0</v>
      </c>
      <c r="M21">
        <f t="shared" si="0"/>
        <v>5</v>
      </c>
    </row>
    <row r="22" spans="1:13" x14ac:dyDescent="0.3">
      <c r="A22" t="s">
        <v>22</v>
      </c>
      <c r="B22">
        <v>4</v>
      </c>
      <c r="C22">
        <v>-64106.872261999997</v>
      </c>
      <c r="D22">
        <v>-3.0170389999959113</v>
      </c>
      <c r="E22">
        <v>0.17873899999540299</v>
      </c>
      <c r="F22">
        <v>2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f t="shared" si="0"/>
        <v>5</v>
      </c>
    </row>
    <row r="23" spans="1:13" x14ac:dyDescent="0.3">
      <c r="A23" t="s">
        <v>23</v>
      </c>
      <c r="B23">
        <v>4</v>
      </c>
      <c r="C23">
        <v>-64106.993028999997</v>
      </c>
      <c r="D23">
        <v>-3.1378059999962531</v>
      </c>
      <c r="E23">
        <v>5.7971999995061196E-2</v>
      </c>
      <c r="F23">
        <v>0</v>
      </c>
      <c r="G23">
        <v>1</v>
      </c>
      <c r="H23">
        <v>1</v>
      </c>
      <c r="I23">
        <v>3</v>
      </c>
      <c r="J23">
        <v>0</v>
      </c>
      <c r="K23">
        <v>0</v>
      </c>
      <c r="L23">
        <v>0</v>
      </c>
      <c r="M23">
        <f t="shared" si="0"/>
        <v>5</v>
      </c>
    </row>
    <row r="24" spans="1:13" x14ac:dyDescent="0.3">
      <c r="A24" t="s">
        <v>24</v>
      </c>
      <c r="B24">
        <v>4</v>
      </c>
      <c r="C24">
        <v>-64106.950879000004</v>
      </c>
      <c r="D24">
        <v>-3.0956560000023998</v>
      </c>
      <c r="E24">
        <v>0.10012199998891447</v>
      </c>
      <c r="F24">
        <v>1</v>
      </c>
      <c r="G24">
        <v>0</v>
      </c>
      <c r="H24">
        <v>1</v>
      </c>
      <c r="I24">
        <v>0</v>
      </c>
      <c r="J24">
        <v>2</v>
      </c>
      <c r="K24">
        <v>1</v>
      </c>
      <c r="L24">
        <v>0</v>
      </c>
      <c r="M24">
        <f t="shared" si="0"/>
        <v>5</v>
      </c>
    </row>
    <row r="25" spans="1:13" x14ac:dyDescent="0.3">
      <c r="A25" t="s">
        <v>25</v>
      </c>
      <c r="B25">
        <v>4</v>
      </c>
      <c r="C25">
        <v>-64106.961837000003</v>
      </c>
      <c r="D25">
        <v>-3.1066140000013363</v>
      </c>
      <c r="E25">
        <v>8.9163999989978038E-2</v>
      </c>
      <c r="F25">
        <v>1</v>
      </c>
      <c r="G25">
        <v>0</v>
      </c>
      <c r="H25">
        <v>0</v>
      </c>
      <c r="I25">
        <v>1</v>
      </c>
      <c r="J25">
        <v>2</v>
      </c>
      <c r="K25">
        <v>0</v>
      </c>
      <c r="L25">
        <v>0</v>
      </c>
      <c r="M25">
        <f t="shared" si="0"/>
        <v>4</v>
      </c>
    </row>
    <row r="26" spans="1:13" x14ac:dyDescent="0.3">
      <c r="A26" t="s">
        <v>26</v>
      </c>
      <c r="B26">
        <v>4</v>
      </c>
      <c r="C26">
        <v>-64106.996972000001</v>
      </c>
      <c r="D26">
        <v>-3.1417489999995993</v>
      </c>
      <c r="E26">
        <v>5.4028999991714954E-2</v>
      </c>
      <c r="F26">
        <v>0</v>
      </c>
      <c r="G26">
        <v>0</v>
      </c>
      <c r="H26">
        <v>1</v>
      </c>
      <c r="I26">
        <v>1</v>
      </c>
      <c r="J26">
        <v>3</v>
      </c>
      <c r="K26">
        <v>0</v>
      </c>
      <c r="L26">
        <v>0</v>
      </c>
      <c r="M26">
        <f t="shared" si="0"/>
        <v>5</v>
      </c>
    </row>
    <row r="27" spans="1:13" x14ac:dyDescent="0.3">
      <c r="A27" t="s">
        <v>27</v>
      </c>
      <c r="B27">
        <v>5</v>
      </c>
      <c r="C27">
        <v>-64123.595280000001</v>
      </c>
      <c r="D27">
        <v>-3.9293965000001378</v>
      </c>
      <c r="E27">
        <v>6.5325999989005012E-2</v>
      </c>
      <c r="F27">
        <v>0</v>
      </c>
      <c r="G27">
        <v>0</v>
      </c>
      <c r="H27">
        <v>0</v>
      </c>
      <c r="I27">
        <v>6</v>
      </c>
      <c r="J27">
        <v>0</v>
      </c>
      <c r="K27">
        <v>2</v>
      </c>
      <c r="L27">
        <v>2</v>
      </c>
      <c r="M27">
        <f t="shared" si="0"/>
        <v>10</v>
      </c>
    </row>
    <row r="28" spans="1:13" x14ac:dyDescent="0.3">
      <c r="A28" t="s">
        <v>28</v>
      </c>
      <c r="B28">
        <v>5</v>
      </c>
      <c r="C28">
        <v>-64123.548547999999</v>
      </c>
      <c r="D28">
        <v>-3.8826644999976168</v>
      </c>
      <c r="E28">
        <v>0.1120579999915261</v>
      </c>
      <c r="F28">
        <v>0</v>
      </c>
      <c r="G28">
        <v>2</v>
      </c>
      <c r="H28">
        <v>2</v>
      </c>
      <c r="I28">
        <v>4</v>
      </c>
      <c r="J28">
        <v>0</v>
      </c>
      <c r="K28">
        <v>0</v>
      </c>
      <c r="L28">
        <v>0</v>
      </c>
      <c r="M28">
        <f t="shared" si="0"/>
        <v>8</v>
      </c>
    </row>
    <row r="29" spans="1:13" x14ac:dyDescent="0.3">
      <c r="A29" t="s">
        <v>29</v>
      </c>
      <c r="B29">
        <v>5</v>
      </c>
      <c r="C29">
        <v>-64123.421020000002</v>
      </c>
      <c r="D29">
        <v>-3.7551365000003614</v>
      </c>
      <c r="E29">
        <v>0.2395859999887815</v>
      </c>
      <c r="F29">
        <v>2</v>
      </c>
      <c r="G29">
        <v>2</v>
      </c>
      <c r="H29">
        <v>1</v>
      </c>
      <c r="I29">
        <v>2</v>
      </c>
      <c r="J29">
        <v>2</v>
      </c>
      <c r="K29">
        <v>1</v>
      </c>
      <c r="L29">
        <v>0</v>
      </c>
      <c r="M29">
        <f t="shared" si="0"/>
        <v>10</v>
      </c>
    </row>
    <row r="30" spans="1:13" x14ac:dyDescent="0.3">
      <c r="A30" t="s">
        <v>30</v>
      </c>
      <c r="B30">
        <v>5</v>
      </c>
      <c r="C30">
        <v>-64123.388493999999</v>
      </c>
      <c r="D30">
        <v>-3.7226104999976712</v>
      </c>
      <c r="E30">
        <v>0.27211199999147162</v>
      </c>
      <c r="F30">
        <v>3</v>
      </c>
      <c r="G30">
        <v>2</v>
      </c>
      <c r="H30">
        <v>1</v>
      </c>
      <c r="I30">
        <v>2</v>
      </c>
      <c r="J30">
        <v>1</v>
      </c>
      <c r="K30">
        <v>1</v>
      </c>
      <c r="L30">
        <v>0</v>
      </c>
      <c r="M30">
        <f t="shared" si="0"/>
        <v>10</v>
      </c>
    </row>
    <row r="31" spans="1:13" x14ac:dyDescent="0.3">
      <c r="A31" t="s">
        <v>31</v>
      </c>
      <c r="B31">
        <v>5</v>
      </c>
      <c r="C31">
        <v>-64123.376656</v>
      </c>
      <c r="D31">
        <v>-3.7107724999991376</v>
      </c>
      <c r="E31">
        <v>0.28394999999000525</v>
      </c>
      <c r="F31">
        <v>3</v>
      </c>
      <c r="G31">
        <v>2</v>
      </c>
      <c r="H31">
        <v>1</v>
      </c>
      <c r="I31">
        <v>2</v>
      </c>
      <c r="J31">
        <v>1</v>
      </c>
      <c r="K31">
        <v>0</v>
      </c>
      <c r="L31">
        <v>0</v>
      </c>
      <c r="M31">
        <f t="shared" si="0"/>
        <v>9</v>
      </c>
    </row>
    <row r="32" spans="1:13" x14ac:dyDescent="0.3">
      <c r="A32" t="s">
        <v>32</v>
      </c>
      <c r="B32">
        <v>5</v>
      </c>
      <c r="C32">
        <v>-64123.293799999999</v>
      </c>
      <c r="D32">
        <v>-3.6279164999982356</v>
      </c>
      <c r="E32">
        <v>0.36680599999090724</v>
      </c>
      <c r="F32">
        <v>4</v>
      </c>
      <c r="G32">
        <v>2</v>
      </c>
      <c r="H32">
        <v>2</v>
      </c>
      <c r="I32">
        <v>2</v>
      </c>
      <c r="J32">
        <v>0</v>
      </c>
      <c r="K32">
        <v>0</v>
      </c>
      <c r="L32">
        <v>0</v>
      </c>
      <c r="M32">
        <f t="shared" si="0"/>
        <v>10</v>
      </c>
    </row>
    <row r="33" spans="1:13" x14ac:dyDescent="0.3">
      <c r="A33" t="s">
        <v>33</v>
      </c>
      <c r="B33">
        <v>5</v>
      </c>
      <c r="C33">
        <v>-64123.533239999997</v>
      </c>
      <c r="D33">
        <v>-3.8673564999957932</v>
      </c>
      <c r="E33">
        <v>0.12736599999334963</v>
      </c>
      <c r="F33">
        <v>0</v>
      </c>
      <c r="G33">
        <v>3</v>
      </c>
      <c r="H33">
        <v>2</v>
      </c>
      <c r="I33">
        <v>3</v>
      </c>
      <c r="J33">
        <v>0</v>
      </c>
      <c r="K33">
        <v>1</v>
      </c>
      <c r="L33">
        <v>0</v>
      </c>
      <c r="M33">
        <f t="shared" si="0"/>
        <v>9</v>
      </c>
    </row>
    <row r="34" spans="1:13" x14ac:dyDescent="0.3">
      <c r="A34" t="s">
        <v>34</v>
      </c>
      <c r="B34">
        <v>5</v>
      </c>
      <c r="C34">
        <v>-64123.557480000003</v>
      </c>
      <c r="D34">
        <v>-3.8915965000018957</v>
      </c>
      <c r="E34">
        <v>0.10312599998724714</v>
      </c>
      <c r="F34">
        <v>0</v>
      </c>
      <c r="G34">
        <v>2</v>
      </c>
      <c r="H34">
        <v>1</v>
      </c>
      <c r="I34">
        <v>4</v>
      </c>
      <c r="J34">
        <v>0</v>
      </c>
      <c r="K34">
        <v>1</v>
      </c>
      <c r="L34">
        <v>1</v>
      </c>
      <c r="M34">
        <f t="shared" si="0"/>
        <v>9</v>
      </c>
    </row>
    <row r="35" spans="1:13" x14ac:dyDescent="0.3">
      <c r="A35" t="s">
        <v>35</v>
      </c>
      <c r="B35">
        <v>6</v>
      </c>
      <c r="C35">
        <v>-64140.104765999997</v>
      </c>
      <c r="D35">
        <v>-4.6282219999955174</v>
      </c>
      <c r="E35">
        <v>0.16544499999145401</v>
      </c>
      <c r="F35">
        <v>0</v>
      </c>
      <c r="G35">
        <v>6</v>
      </c>
      <c r="H35">
        <v>0</v>
      </c>
      <c r="I35">
        <v>0</v>
      </c>
      <c r="J35">
        <v>0</v>
      </c>
      <c r="K35">
        <v>6</v>
      </c>
      <c r="L35">
        <v>0</v>
      </c>
      <c r="M35">
        <f t="shared" si="0"/>
        <v>12</v>
      </c>
    </row>
    <row r="36" spans="1:13" x14ac:dyDescent="0.3">
      <c r="A36" t="s">
        <v>36</v>
      </c>
      <c r="B36">
        <v>6</v>
      </c>
      <c r="C36">
        <v>-64140.140529999997</v>
      </c>
      <c r="D36">
        <v>-4.6639859999957167</v>
      </c>
      <c r="E36">
        <v>0.12968099999125471</v>
      </c>
      <c r="F36">
        <v>0</v>
      </c>
      <c r="G36">
        <v>1</v>
      </c>
      <c r="H36">
        <v>2</v>
      </c>
      <c r="I36">
        <v>6</v>
      </c>
      <c r="J36">
        <v>0</v>
      </c>
      <c r="K36">
        <v>2</v>
      </c>
      <c r="L36">
        <v>2</v>
      </c>
      <c r="M36">
        <f t="shared" si="0"/>
        <v>13</v>
      </c>
    </row>
    <row r="37" spans="1:13" x14ac:dyDescent="0.3">
      <c r="A37" t="s">
        <v>37</v>
      </c>
      <c r="B37">
        <v>6</v>
      </c>
      <c r="C37">
        <v>-64140.175926000004</v>
      </c>
      <c r="D37">
        <v>-4.6993820000023021</v>
      </c>
      <c r="E37">
        <v>9.4284999984669327E-2</v>
      </c>
      <c r="F37">
        <v>0</v>
      </c>
      <c r="G37">
        <v>0</v>
      </c>
      <c r="H37">
        <v>0</v>
      </c>
      <c r="I37">
        <v>9</v>
      </c>
      <c r="J37">
        <v>0</v>
      </c>
      <c r="K37">
        <v>3</v>
      </c>
      <c r="L37">
        <v>3</v>
      </c>
      <c r="M37">
        <f t="shared" si="0"/>
        <v>15</v>
      </c>
    </row>
    <row r="38" spans="1:13" x14ac:dyDescent="0.3">
      <c r="A38" t="s">
        <v>38</v>
      </c>
      <c r="B38">
        <v>6</v>
      </c>
      <c r="C38">
        <v>-64140.092383000003</v>
      </c>
      <c r="D38">
        <v>-4.6158390000016567</v>
      </c>
      <c r="E38">
        <v>0.17782799998531473</v>
      </c>
      <c r="F38">
        <v>0</v>
      </c>
      <c r="G38">
        <v>3</v>
      </c>
      <c r="H38">
        <v>3</v>
      </c>
      <c r="I38">
        <v>6</v>
      </c>
      <c r="J38">
        <v>0</v>
      </c>
      <c r="K38">
        <v>0</v>
      </c>
      <c r="L38">
        <v>0</v>
      </c>
      <c r="M38">
        <f t="shared" si="0"/>
        <v>12</v>
      </c>
    </row>
    <row r="39" spans="1:13" x14ac:dyDescent="0.3">
      <c r="A39" t="s">
        <v>39</v>
      </c>
      <c r="B39">
        <v>6</v>
      </c>
      <c r="C39">
        <v>-64140.100874000003</v>
      </c>
      <c r="D39">
        <v>-4.6243300000021605</v>
      </c>
      <c r="E39">
        <v>0.16933699998481089</v>
      </c>
      <c r="F39">
        <v>0</v>
      </c>
      <c r="G39">
        <v>3</v>
      </c>
      <c r="H39">
        <v>3</v>
      </c>
      <c r="I39">
        <v>5</v>
      </c>
      <c r="J39">
        <v>0</v>
      </c>
      <c r="K39">
        <v>1</v>
      </c>
      <c r="L39">
        <v>1</v>
      </c>
      <c r="M39">
        <f t="shared" si="0"/>
        <v>13</v>
      </c>
    </row>
    <row r="40" spans="1:13" x14ac:dyDescent="0.3">
      <c r="A40" t="s">
        <v>40</v>
      </c>
      <c r="B40">
        <v>7</v>
      </c>
      <c r="C40">
        <v>-64156.680456000002</v>
      </c>
      <c r="D40">
        <v>-5.3932515000006447</v>
      </c>
      <c r="E40">
        <v>0.19935999998415532</v>
      </c>
      <c r="F40">
        <v>0</v>
      </c>
      <c r="G40">
        <v>6</v>
      </c>
      <c r="H40">
        <v>1</v>
      </c>
      <c r="I40">
        <v>2</v>
      </c>
      <c r="J40">
        <v>0</v>
      </c>
      <c r="K40">
        <v>6</v>
      </c>
      <c r="L40">
        <v>1</v>
      </c>
      <c r="M40">
        <f t="shared" si="0"/>
        <v>16</v>
      </c>
    </row>
    <row r="41" spans="1:13" x14ac:dyDescent="0.3">
      <c r="A41" t="s">
        <v>41</v>
      </c>
      <c r="B41">
        <v>7</v>
      </c>
      <c r="C41">
        <v>-64156.692351999998</v>
      </c>
      <c r="D41">
        <v>-5.4051474999969855</v>
      </c>
      <c r="E41">
        <v>0.18746399998781449</v>
      </c>
      <c r="F41">
        <v>0</v>
      </c>
      <c r="G41">
        <v>2</v>
      </c>
      <c r="H41">
        <v>3</v>
      </c>
      <c r="I41">
        <v>7</v>
      </c>
      <c r="J41">
        <v>0</v>
      </c>
      <c r="K41">
        <v>2</v>
      </c>
      <c r="L41">
        <v>2</v>
      </c>
      <c r="M41">
        <f t="shared" si="0"/>
        <v>16</v>
      </c>
    </row>
    <row r="42" spans="1:13" x14ac:dyDescent="0.3">
      <c r="A42" t="s">
        <v>42</v>
      </c>
      <c r="B42">
        <v>7</v>
      </c>
      <c r="C42">
        <v>-64156.644838</v>
      </c>
      <c r="D42">
        <v>-5.3576334999989399</v>
      </c>
      <c r="E42">
        <v>0.23497799998586011</v>
      </c>
      <c r="F42">
        <v>0</v>
      </c>
      <c r="G42">
        <v>4</v>
      </c>
      <c r="H42">
        <v>4</v>
      </c>
      <c r="I42">
        <v>7</v>
      </c>
      <c r="J42">
        <v>0</v>
      </c>
      <c r="K42">
        <v>1</v>
      </c>
      <c r="L42">
        <v>1</v>
      </c>
      <c r="M42">
        <f t="shared" si="0"/>
        <v>17</v>
      </c>
    </row>
    <row r="43" spans="1:13" x14ac:dyDescent="0.3">
      <c r="A43" t="s">
        <v>43</v>
      </c>
      <c r="B43">
        <v>8</v>
      </c>
      <c r="C43">
        <v>-64173.216370000002</v>
      </c>
      <c r="D43">
        <v>-6.1185050000006953</v>
      </c>
      <c r="E43">
        <v>0.27305099998193327</v>
      </c>
      <c r="F43">
        <v>0</v>
      </c>
      <c r="G43">
        <v>5</v>
      </c>
      <c r="H43">
        <v>4</v>
      </c>
      <c r="I43">
        <v>8</v>
      </c>
      <c r="J43">
        <v>0</v>
      </c>
      <c r="K43">
        <v>2</v>
      </c>
      <c r="L43">
        <v>2</v>
      </c>
      <c r="M43">
        <f t="shared" si="0"/>
        <v>21</v>
      </c>
    </row>
    <row r="44" spans="1:13" x14ac:dyDescent="0.3">
      <c r="A44" t="s">
        <v>44</v>
      </c>
      <c r="B44">
        <v>9</v>
      </c>
      <c r="C44">
        <v>-64189.759487000003</v>
      </c>
      <c r="D44">
        <v>-6.8509615000017732</v>
      </c>
      <c r="E44">
        <v>0.33953899997868398</v>
      </c>
      <c r="F44">
        <v>0</v>
      </c>
      <c r="G44">
        <v>6</v>
      </c>
      <c r="H44">
        <v>6</v>
      </c>
      <c r="I44">
        <v>10</v>
      </c>
      <c r="J44">
        <v>0</v>
      </c>
      <c r="K44">
        <v>3</v>
      </c>
      <c r="L44">
        <v>3</v>
      </c>
      <c r="M44">
        <f t="shared" si="0"/>
        <v>28</v>
      </c>
    </row>
    <row r="45" spans="1:13" x14ac:dyDescent="0.3">
      <c r="A45" t="s">
        <v>45</v>
      </c>
      <c r="B45">
        <v>10</v>
      </c>
      <c r="C45">
        <v>-64206.330829999999</v>
      </c>
      <c r="D45">
        <v>-7.6116439999977388</v>
      </c>
      <c r="E45">
        <v>0.37780099998054695</v>
      </c>
      <c r="F45">
        <v>0</v>
      </c>
      <c r="G45">
        <v>7</v>
      </c>
      <c r="H45">
        <v>6</v>
      </c>
      <c r="I45">
        <v>12</v>
      </c>
      <c r="J45">
        <v>0</v>
      </c>
      <c r="K45">
        <v>4</v>
      </c>
      <c r="L45">
        <v>4</v>
      </c>
      <c r="M45">
        <f t="shared" si="0"/>
        <v>33</v>
      </c>
    </row>
    <row r="46" spans="1:13" x14ac:dyDescent="0.3">
      <c r="A46" t="s">
        <v>46</v>
      </c>
      <c r="B46">
        <v>11</v>
      </c>
      <c r="C46">
        <v>-64222.867629</v>
      </c>
      <c r="D46">
        <v>-8.3377824999990935</v>
      </c>
      <c r="E46">
        <v>0.45060699997702081</v>
      </c>
      <c r="F46">
        <v>0</v>
      </c>
      <c r="G46">
        <v>8</v>
      </c>
      <c r="H46">
        <v>8</v>
      </c>
      <c r="I46">
        <v>15</v>
      </c>
      <c r="J46">
        <v>0</v>
      </c>
      <c r="K46">
        <v>5</v>
      </c>
      <c r="L46">
        <v>5</v>
      </c>
      <c r="M46">
        <f t="shared" si="0"/>
        <v>41</v>
      </c>
    </row>
    <row r="47" spans="1:13" x14ac:dyDescent="0.3">
      <c r="A47" t="s">
        <v>47</v>
      </c>
      <c r="B47">
        <v>12</v>
      </c>
      <c r="C47">
        <v>-64239.428451</v>
      </c>
      <c r="D47">
        <v>-9.0879439999985436</v>
      </c>
      <c r="E47">
        <v>0.49938999997539923</v>
      </c>
      <c r="F47">
        <v>0</v>
      </c>
      <c r="G47">
        <v>9</v>
      </c>
      <c r="H47">
        <v>9</v>
      </c>
      <c r="I47">
        <v>18</v>
      </c>
      <c r="J47">
        <v>0</v>
      </c>
      <c r="K47">
        <v>6</v>
      </c>
      <c r="L47">
        <v>6</v>
      </c>
      <c r="M47">
        <f t="shared" si="0"/>
        <v>48</v>
      </c>
    </row>
    <row r="48" spans="1:13" x14ac:dyDescent="0.3">
      <c r="A48" t="s">
        <v>48</v>
      </c>
      <c r="B48">
        <v>13</v>
      </c>
      <c r="C48">
        <v>-64255.982251000001</v>
      </c>
      <c r="D48">
        <v>-9.8310835000000623</v>
      </c>
      <c r="E48">
        <v>0.55519499997170918</v>
      </c>
      <c r="F48">
        <v>0</v>
      </c>
      <c r="G48">
        <v>10</v>
      </c>
      <c r="H48">
        <v>10</v>
      </c>
      <c r="I48">
        <v>20</v>
      </c>
      <c r="J48">
        <v>0</v>
      </c>
      <c r="K48">
        <v>8</v>
      </c>
      <c r="L48">
        <v>8</v>
      </c>
      <c r="M48">
        <f t="shared" si="0"/>
        <v>56</v>
      </c>
    </row>
    <row r="49" spans="1:13" x14ac:dyDescent="0.3">
      <c r="A49" t="s">
        <v>49</v>
      </c>
      <c r="B49">
        <v>14</v>
      </c>
      <c r="C49">
        <v>-64272.532045</v>
      </c>
      <c r="D49">
        <v>-10.570216999998706</v>
      </c>
      <c r="E49">
        <v>0.61500599997089367</v>
      </c>
      <c r="F49">
        <v>0</v>
      </c>
      <c r="G49">
        <v>12</v>
      </c>
      <c r="H49">
        <v>11</v>
      </c>
      <c r="I49">
        <v>22</v>
      </c>
      <c r="J49">
        <v>0</v>
      </c>
      <c r="K49">
        <v>10</v>
      </c>
      <c r="L49">
        <v>10</v>
      </c>
      <c r="M49">
        <f t="shared" si="0"/>
        <v>65</v>
      </c>
    </row>
    <row r="50" spans="1:13" x14ac:dyDescent="0.3">
      <c r="A50" t="s">
        <v>50</v>
      </c>
      <c r="B50">
        <v>15</v>
      </c>
      <c r="C50">
        <v>-64289.054872000001</v>
      </c>
      <c r="D50">
        <v>-11.282383499999412</v>
      </c>
      <c r="E50">
        <v>0.70178399996801666</v>
      </c>
      <c r="F50">
        <v>0</v>
      </c>
      <c r="G50">
        <v>13</v>
      </c>
      <c r="H50">
        <v>13</v>
      </c>
      <c r="I50">
        <v>25</v>
      </c>
      <c r="J50">
        <v>0</v>
      </c>
      <c r="K50">
        <v>12</v>
      </c>
      <c r="L50">
        <v>12</v>
      </c>
      <c r="M50">
        <f t="shared" si="0"/>
        <v>75</v>
      </c>
    </row>
    <row r="51" spans="1:13" x14ac:dyDescent="0.3">
      <c r="A51" t="s">
        <v>51</v>
      </c>
      <c r="B51">
        <v>16</v>
      </c>
      <c r="C51">
        <v>-64305.607302999997</v>
      </c>
      <c r="D51">
        <v>-12.024153999995832</v>
      </c>
      <c r="E51">
        <v>0.75895799996942515</v>
      </c>
      <c r="F51">
        <v>0</v>
      </c>
      <c r="G51">
        <v>15</v>
      </c>
      <c r="H51">
        <v>14</v>
      </c>
      <c r="I51">
        <v>28</v>
      </c>
      <c r="J51">
        <v>0</v>
      </c>
      <c r="K51">
        <v>14</v>
      </c>
      <c r="L51">
        <v>14</v>
      </c>
      <c r="M51">
        <f t="shared" si="0"/>
        <v>85</v>
      </c>
    </row>
    <row r="52" spans="1:13" x14ac:dyDescent="0.3">
      <c r="A52" t="s">
        <v>52</v>
      </c>
      <c r="B52">
        <v>17</v>
      </c>
      <c r="C52">
        <v>-64322.127703999999</v>
      </c>
      <c r="D52">
        <v>-12.733894499997405</v>
      </c>
      <c r="E52">
        <v>0.84816199996568109</v>
      </c>
      <c r="F52">
        <v>0</v>
      </c>
      <c r="G52">
        <v>16</v>
      </c>
      <c r="H52">
        <v>16</v>
      </c>
      <c r="I52">
        <v>32</v>
      </c>
      <c r="J52">
        <v>0</v>
      </c>
      <c r="K52">
        <v>16</v>
      </c>
      <c r="L52">
        <v>16</v>
      </c>
      <c r="M52">
        <f t="shared" si="0"/>
        <v>96</v>
      </c>
    </row>
    <row r="53" spans="1:13" x14ac:dyDescent="0.3">
      <c r="A53" t="s">
        <v>53</v>
      </c>
      <c r="B53">
        <v>18</v>
      </c>
      <c r="C53">
        <v>-64338.647261999999</v>
      </c>
      <c r="D53">
        <v>-13.442791999997382</v>
      </c>
      <c r="E53">
        <v>0.93820899996353191</v>
      </c>
      <c r="F53">
        <v>0</v>
      </c>
      <c r="G53">
        <v>18</v>
      </c>
      <c r="H53">
        <v>18</v>
      </c>
      <c r="I53">
        <v>36</v>
      </c>
      <c r="J53">
        <v>0</v>
      </c>
      <c r="K53">
        <v>18</v>
      </c>
      <c r="L53">
        <v>18</v>
      </c>
      <c r="M53">
        <f t="shared" si="0"/>
        <v>108</v>
      </c>
    </row>
    <row r="54" spans="1:13" x14ac:dyDescent="0.3">
      <c r="A54" t="s">
        <v>54</v>
      </c>
      <c r="B54">
        <v>19</v>
      </c>
      <c r="C54">
        <v>-64353.736316000002</v>
      </c>
      <c r="D54">
        <v>-12.72118550000107</v>
      </c>
      <c r="E54">
        <v>2.4587599999576728</v>
      </c>
      <c r="F54">
        <v>18</v>
      </c>
      <c r="G54">
        <v>11</v>
      </c>
      <c r="H54">
        <v>9</v>
      </c>
      <c r="I54">
        <v>19</v>
      </c>
      <c r="J54">
        <v>37</v>
      </c>
      <c r="K54">
        <v>10</v>
      </c>
      <c r="L54">
        <v>11</v>
      </c>
      <c r="M54">
        <f t="shared" si="0"/>
        <v>115</v>
      </c>
    </row>
    <row r="55" spans="1:13" x14ac:dyDescent="0.3">
      <c r="A55" t="s">
        <v>55</v>
      </c>
      <c r="B55">
        <v>19</v>
      </c>
      <c r="C55">
        <v>-64354.850614000003</v>
      </c>
      <c r="D55">
        <v>-13.835483500001487</v>
      </c>
      <c r="E55">
        <v>1.3444619999572556</v>
      </c>
      <c r="F55">
        <v>4</v>
      </c>
      <c r="G55">
        <v>18</v>
      </c>
      <c r="H55">
        <v>18</v>
      </c>
      <c r="I55">
        <v>36</v>
      </c>
      <c r="J55">
        <v>8</v>
      </c>
      <c r="K55">
        <v>18</v>
      </c>
      <c r="L55">
        <v>18</v>
      </c>
      <c r="M55">
        <f t="shared" si="0"/>
        <v>120</v>
      </c>
    </row>
    <row r="56" spans="1:13" x14ac:dyDescent="0.3">
      <c r="A56" t="s">
        <v>56</v>
      </c>
      <c r="B56">
        <v>20</v>
      </c>
      <c r="C56">
        <v>-64371.048871999999</v>
      </c>
      <c r="D56">
        <v>-14.22308099999816</v>
      </c>
      <c r="E56">
        <v>1.7558089999584112</v>
      </c>
      <c r="F56">
        <v>8</v>
      </c>
      <c r="G56">
        <v>18</v>
      </c>
      <c r="H56">
        <v>18</v>
      </c>
      <c r="I56">
        <v>36</v>
      </c>
      <c r="J56">
        <v>16</v>
      </c>
      <c r="K56">
        <v>18</v>
      </c>
      <c r="L56">
        <v>18</v>
      </c>
      <c r="M56">
        <f t="shared" si="0"/>
        <v>132</v>
      </c>
    </row>
    <row r="57" spans="1:13" x14ac:dyDescent="0.3">
      <c r="A57" t="s">
        <v>57</v>
      </c>
      <c r="B57">
        <v>21</v>
      </c>
      <c r="C57">
        <v>-64386.647809000002</v>
      </c>
      <c r="D57">
        <v>-14.011357500000656</v>
      </c>
      <c r="E57">
        <v>2.7664769999537455</v>
      </c>
      <c r="F57">
        <v>22</v>
      </c>
      <c r="G57">
        <v>10</v>
      </c>
      <c r="H57">
        <v>14</v>
      </c>
      <c r="I57">
        <v>19</v>
      </c>
      <c r="J57">
        <v>51</v>
      </c>
      <c r="K57">
        <v>17</v>
      </c>
      <c r="L57">
        <v>10</v>
      </c>
      <c r="M57">
        <f t="shared" si="0"/>
        <v>143</v>
      </c>
    </row>
    <row r="58" spans="1:13" x14ac:dyDescent="0.3">
      <c r="A58" t="s">
        <v>58</v>
      </c>
      <c r="B58">
        <v>21</v>
      </c>
      <c r="C58">
        <v>-64387.175080000001</v>
      </c>
      <c r="D58">
        <v>-14.538628499999675</v>
      </c>
      <c r="E58">
        <v>2.2392059999547271</v>
      </c>
      <c r="F58">
        <v>12</v>
      </c>
      <c r="G58">
        <v>18</v>
      </c>
      <c r="H58">
        <v>19</v>
      </c>
      <c r="I58">
        <v>36</v>
      </c>
      <c r="J58">
        <v>24</v>
      </c>
      <c r="K58">
        <v>18</v>
      </c>
      <c r="L58">
        <v>19</v>
      </c>
      <c r="M58">
        <f t="shared" si="0"/>
        <v>146</v>
      </c>
    </row>
    <row r="59" spans="1:13" x14ac:dyDescent="0.3">
      <c r="A59" t="s">
        <v>59</v>
      </c>
      <c r="B59">
        <v>22</v>
      </c>
      <c r="C59">
        <v>-64403.202340999997</v>
      </c>
      <c r="D59">
        <v>-14.755228999995325</v>
      </c>
      <c r="E59">
        <v>2.821549999956904</v>
      </c>
      <c r="F59">
        <v>16</v>
      </c>
      <c r="G59">
        <v>18</v>
      </c>
      <c r="H59">
        <v>19</v>
      </c>
      <c r="I59">
        <v>37</v>
      </c>
      <c r="J59">
        <v>32</v>
      </c>
      <c r="K59">
        <v>18</v>
      </c>
      <c r="L59">
        <v>19</v>
      </c>
      <c r="M59">
        <f t="shared" si="0"/>
        <v>159</v>
      </c>
    </row>
    <row r="60" spans="1:13" x14ac:dyDescent="0.3">
      <c r="A60" t="s">
        <v>60</v>
      </c>
      <c r="B60">
        <v>23</v>
      </c>
      <c r="C60">
        <v>-64419.298430000003</v>
      </c>
      <c r="D60">
        <v>-15.040657500001373</v>
      </c>
      <c r="E60">
        <v>3.3350659999486822</v>
      </c>
      <c r="F60">
        <v>20</v>
      </c>
      <c r="G60">
        <v>18</v>
      </c>
      <c r="H60">
        <v>19</v>
      </c>
      <c r="I60">
        <v>38</v>
      </c>
      <c r="J60">
        <v>40</v>
      </c>
      <c r="K60">
        <v>19</v>
      </c>
      <c r="L60">
        <v>19</v>
      </c>
      <c r="M60">
        <f t="shared" si="0"/>
        <v>173</v>
      </c>
    </row>
    <row r="61" spans="1:13" x14ac:dyDescent="0.3">
      <c r="A61" t="s">
        <v>61</v>
      </c>
      <c r="B61">
        <v>24</v>
      </c>
      <c r="C61">
        <v>-64434.027554</v>
      </c>
      <c r="D61">
        <v>-13.959120999999016</v>
      </c>
      <c r="E61">
        <v>5.2155469999488702</v>
      </c>
      <c r="F61">
        <v>35</v>
      </c>
      <c r="G61">
        <v>16</v>
      </c>
      <c r="H61">
        <v>16</v>
      </c>
      <c r="I61">
        <v>31</v>
      </c>
      <c r="J61">
        <v>62</v>
      </c>
      <c r="K61">
        <v>15</v>
      </c>
      <c r="L61">
        <v>17</v>
      </c>
      <c r="M61">
        <f t="shared" si="0"/>
        <v>192</v>
      </c>
    </row>
    <row r="62" spans="1:13" x14ac:dyDescent="0.3">
      <c r="A62" t="s">
        <v>62</v>
      </c>
      <c r="B62">
        <v>24</v>
      </c>
      <c r="C62">
        <v>-64435.361467000002</v>
      </c>
      <c r="D62">
        <v>-15.293034000001228</v>
      </c>
      <c r="E62">
        <v>3.8816339999466578</v>
      </c>
      <c r="F62">
        <v>24</v>
      </c>
      <c r="G62">
        <v>19</v>
      </c>
      <c r="H62">
        <v>20</v>
      </c>
      <c r="I62">
        <v>39</v>
      </c>
      <c r="J62">
        <v>48</v>
      </c>
      <c r="K62">
        <v>19</v>
      </c>
      <c r="L62">
        <v>20</v>
      </c>
      <c r="M62">
        <f t="shared" si="0"/>
        <v>189</v>
      </c>
    </row>
    <row r="63" spans="1:13" x14ac:dyDescent="0.3">
      <c r="A63" t="s">
        <v>63</v>
      </c>
      <c r="B63">
        <v>25</v>
      </c>
      <c r="C63">
        <v>-64451.440687000002</v>
      </c>
      <c r="D63">
        <v>-15.561593500000868</v>
      </c>
      <c r="E63">
        <v>4.4120189999448485</v>
      </c>
      <c r="F63">
        <v>28</v>
      </c>
      <c r="G63">
        <v>19</v>
      </c>
      <c r="H63">
        <v>21</v>
      </c>
      <c r="I63">
        <v>41</v>
      </c>
      <c r="J63">
        <v>56</v>
      </c>
      <c r="K63">
        <v>20</v>
      </c>
      <c r="L63">
        <v>20</v>
      </c>
      <c r="M63">
        <f t="shared" si="0"/>
        <v>205</v>
      </c>
    </row>
    <row r="64" spans="1:13" x14ac:dyDescent="0.3">
      <c r="A64" t="s">
        <v>64</v>
      </c>
      <c r="B64">
        <v>26</v>
      </c>
      <c r="C64">
        <v>-64466.065038000001</v>
      </c>
      <c r="D64">
        <v>-14.375283999999453</v>
      </c>
      <c r="E64">
        <v>6.3972729999440894</v>
      </c>
      <c r="F64">
        <v>37</v>
      </c>
      <c r="G64">
        <v>19</v>
      </c>
      <c r="H64">
        <v>19</v>
      </c>
      <c r="I64">
        <v>36</v>
      </c>
      <c r="J64">
        <v>75</v>
      </c>
      <c r="K64">
        <v>18</v>
      </c>
      <c r="L64">
        <v>19</v>
      </c>
      <c r="M64">
        <f t="shared" si="0"/>
        <v>223</v>
      </c>
    </row>
    <row r="65" spans="1:13" x14ac:dyDescent="0.3">
      <c r="A65" t="s">
        <v>65</v>
      </c>
      <c r="B65">
        <v>26</v>
      </c>
      <c r="C65">
        <v>-64467.443492999999</v>
      </c>
      <c r="D65">
        <v>-15.753738999997665</v>
      </c>
      <c r="E65">
        <v>5.0188179999458775</v>
      </c>
      <c r="F65">
        <v>32</v>
      </c>
      <c r="G65">
        <v>20</v>
      </c>
      <c r="H65">
        <v>22</v>
      </c>
      <c r="I65">
        <v>43</v>
      </c>
      <c r="J65">
        <v>64</v>
      </c>
      <c r="K65">
        <v>21</v>
      </c>
      <c r="L65">
        <v>20</v>
      </c>
      <c r="M65">
        <f t="shared" si="0"/>
        <v>222</v>
      </c>
    </row>
    <row r="66" spans="1:13" x14ac:dyDescent="0.3">
      <c r="A66" t="s">
        <v>66</v>
      </c>
      <c r="B66">
        <v>27</v>
      </c>
      <c r="C66">
        <v>-64483.411563000001</v>
      </c>
      <c r="D66">
        <v>-15.911148500000252</v>
      </c>
      <c r="E66">
        <v>5.660352999941118</v>
      </c>
      <c r="F66">
        <v>36</v>
      </c>
      <c r="G66">
        <v>21</v>
      </c>
      <c r="H66">
        <v>22</v>
      </c>
      <c r="I66">
        <v>46</v>
      </c>
      <c r="J66">
        <v>72</v>
      </c>
      <c r="K66">
        <v>21</v>
      </c>
      <c r="L66">
        <v>21</v>
      </c>
      <c r="M66">
        <f t="shared" si="0"/>
        <v>239</v>
      </c>
    </row>
    <row r="67" spans="1:13" x14ac:dyDescent="0.3">
      <c r="A67" t="s">
        <v>67</v>
      </c>
      <c r="B67">
        <v>27</v>
      </c>
      <c r="C67">
        <v>-64482.939120000003</v>
      </c>
      <c r="D67">
        <v>-15.438705500001504</v>
      </c>
      <c r="E67">
        <v>6.1327959999398658</v>
      </c>
      <c r="F67">
        <v>36</v>
      </c>
      <c r="G67">
        <v>18</v>
      </c>
      <c r="H67">
        <v>18</v>
      </c>
      <c r="I67">
        <v>54</v>
      </c>
      <c r="J67">
        <v>72</v>
      </c>
      <c r="K67">
        <v>27</v>
      </c>
      <c r="L67">
        <v>27</v>
      </c>
      <c r="M67">
        <f t="shared" ref="M67:M81" si="1">SUM(F67:L67)</f>
        <v>252</v>
      </c>
    </row>
    <row r="68" spans="1:13" x14ac:dyDescent="0.3">
      <c r="A68" t="s">
        <v>68</v>
      </c>
      <c r="B68">
        <v>28</v>
      </c>
      <c r="C68">
        <v>-64499.213665000003</v>
      </c>
      <c r="D68">
        <v>-15.902590000001737</v>
      </c>
      <c r="E68">
        <v>6.4678559999374627</v>
      </c>
      <c r="F68">
        <v>41</v>
      </c>
      <c r="G68">
        <v>22</v>
      </c>
      <c r="H68">
        <v>21</v>
      </c>
      <c r="I68">
        <v>44</v>
      </c>
      <c r="J68">
        <v>90</v>
      </c>
      <c r="K68">
        <v>22</v>
      </c>
      <c r="L68">
        <v>20</v>
      </c>
      <c r="M68">
        <f t="shared" si="1"/>
        <v>260</v>
      </c>
    </row>
    <row r="69" spans="1:13" x14ac:dyDescent="0.3">
      <c r="A69" t="s">
        <v>69</v>
      </c>
      <c r="B69">
        <v>28</v>
      </c>
      <c r="C69">
        <v>-64499.238949999999</v>
      </c>
      <c r="D69">
        <v>-15.927874999997812</v>
      </c>
      <c r="E69">
        <v>6.4425709999413883</v>
      </c>
      <c r="F69">
        <v>40</v>
      </c>
      <c r="G69">
        <v>22</v>
      </c>
      <c r="H69">
        <v>22</v>
      </c>
      <c r="I69">
        <v>49</v>
      </c>
      <c r="J69">
        <v>80</v>
      </c>
      <c r="K69">
        <v>22</v>
      </c>
      <c r="L69">
        <v>22</v>
      </c>
      <c r="M69">
        <f t="shared" si="1"/>
        <v>257</v>
      </c>
    </row>
    <row r="70" spans="1:13" x14ac:dyDescent="0.3">
      <c r="A70" t="s">
        <v>70</v>
      </c>
      <c r="B70">
        <v>28</v>
      </c>
      <c r="C70">
        <v>-64498.946602000004</v>
      </c>
      <c r="D70">
        <v>-15.635527000002412</v>
      </c>
      <c r="E70">
        <v>6.734918999936788</v>
      </c>
      <c r="F70">
        <v>40</v>
      </c>
      <c r="G70">
        <v>20</v>
      </c>
      <c r="H70">
        <v>20</v>
      </c>
      <c r="I70">
        <v>54</v>
      </c>
      <c r="J70">
        <v>80</v>
      </c>
      <c r="K70">
        <v>27</v>
      </c>
      <c r="L70">
        <v>27</v>
      </c>
      <c r="M70">
        <f t="shared" si="1"/>
        <v>268</v>
      </c>
    </row>
    <row r="71" spans="1:13" x14ac:dyDescent="0.3">
      <c r="A71" t="s">
        <v>71</v>
      </c>
      <c r="B71">
        <v>29</v>
      </c>
      <c r="C71">
        <v>-64514.935187000003</v>
      </c>
      <c r="D71">
        <v>-15.813451500001577</v>
      </c>
      <c r="E71">
        <v>7.3559389999354536</v>
      </c>
      <c r="F71">
        <v>44</v>
      </c>
      <c r="G71">
        <v>22</v>
      </c>
      <c r="H71">
        <v>22</v>
      </c>
      <c r="I71">
        <v>54</v>
      </c>
      <c r="J71">
        <v>88</v>
      </c>
      <c r="K71">
        <v>27</v>
      </c>
      <c r="L71">
        <v>28</v>
      </c>
      <c r="M71">
        <f t="shared" si="1"/>
        <v>285</v>
      </c>
    </row>
    <row r="72" spans="1:13" x14ac:dyDescent="0.3">
      <c r="A72" t="s">
        <v>72</v>
      </c>
      <c r="B72">
        <v>30</v>
      </c>
      <c r="C72">
        <v>-64531.031221999998</v>
      </c>
      <c r="D72">
        <v>-16.09882599999662</v>
      </c>
      <c r="E72">
        <v>7.8695089999382368</v>
      </c>
      <c r="F72">
        <v>49</v>
      </c>
      <c r="G72">
        <v>25</v>
      </c>
      <c r="H72">
        <v>26</v>
      </c>
      <c r="I72">
        <v>48</v>
      </c>
      <c r="J72">
        <v>100</v>
      </c>
      <c r="K72">
        <v>24</v>
      </c>
      <c r="L72">
        <v>26</v>
      </c>
      <c r="M72">
        <f t="shared" si="1"/>
        <v>298</v>
      </c>
    </row>
    <row r="73" spans="1:13" x14ac:dyDescent="0.3">
      <c r="A73" t="s">
        <v>73</v>
      </c>
      <c r="B73">
        <v>30</v>
      </c>
      <c r="C73">
        <v>-64530.899217999999</v>
      </c>
      <c r="D73">
        <v>-15.966821999997478</v>
      </c>
      <c r="E73">
        <v>8.0015129999373791</v>
      </c>
      <c r="F73">
        <v>48</v>
      </c>
      <c r="G73">
        <v>24</v>
      </c>
      <c r="H73">
        <v>24</v>
      </c>
      <c r="I73">
        <v>54</v>
      </c>
      <c r="J73">
        <v>96</v>
      </c>
      <c r="K73">
        <v>27</v>
      </c>
      <c r="L73">
        <v>30</v>
      </c>
      <c r="M73">
        <f t="shared" si="1"/>
        <v>303</v>
      </c>
    </row>
    <row r="74" spans="1:13" x14ac:dyDescent="0.3">
      <c r="A74" t="s">
        <v>74</v>
      </c>
      <c r="B74">
        <v>31</v>
      </c>
      <c r="C74">
        <v>-64546.910004999998</v>
      </c>
      <c r="D74">
        <v>-16.166948499996693</v>
      </c>
      <c r="E74">
        <v>8.6003309999359914</v>
      </c>
      <c r="F74">
        <v>52</v>
      </c>
      <c r="G74">
        <v>26</v>
      </c>
      <c r="H74">
        <v>26</v>
      </c>
      <c r="I74">
        <v>52</v>
      </c>
      <c r="J74">
        <v>108</v>
      </c>
      <c r="K74">
        <v>27</v>
      </c>
      <c r="L74">
        <v>27</v>
      </c>
      <c r="M74">
        <f t="shared" si="1"/>
        <v>318</v>
      </c>
    </row>
    <row r="75" spans="1:13" x14ac:dyDescent="0.3">
      <c r="A75" t="s">
        <v>75</v>
      </c>
      <c r="B75">
        <v>31</v>
      </c>
      <c r="C75">
        <v>-64546.692536000002</v>
      </c>
      <c r="D75">
        <v>-15.949479500001075</v>
      </c>
      <c r="E75">
        <v>8.8177999999316086</v>
      </c>
      <c r="F75">
        <v>52</v>
      </c>
      <c r="G75">
        <v>26</v>
      </c>
      <c r="H75">
        <v>26</v>
      </c>
      <c r="I75">
        <v>56</v>
      </c>
      <c r="J75">
        <v>104</v>
      </c>
      <c r="K75">
        <v>28</v>
      </c>
      <c r="L75">
        <v>30</v>
      </c>
      <c r="M75">
        <f t="shared" si="1"/>
        <v>322</v>
      </c>
    </row>
    <row r="76" spans="1:13" x14ac:dyDescent="0.3">
      <c r="A76" t="s">
        <v>76</v>
      </c>
      <c r="B76">
        <v>32</v>
      </c>
      <c r="C76">
        <v>-64562.480585999998</v>
      </c>
      <c r="D76">
        <v>-15.926868999996657</v>
      </c>
      <c r="E76">
        <v>9.6393549999338575</v>
      </c>
      <c r="F76">
        <v>56</v>
      </c>
      <c r="G76">
        <v>28</v>
      </c>
      <c r="H76">
        <v>28</v>
      </c>
      <c r="I76">
        <v>58</v>
      </c>
      <c r="J76">
        <v>112</v>
      </c>
      <c r="K76">
        <v>30</v>
      </c>
      <c r="L76">
        <v>30</v>
      </c>
      <c r="M76">
        <f t="shared" si="1"/>
        <v>342</v>
      </c>
    </row>
    <row r="77" spans="1:13" x14ac:dyDescent="0.3">
      <c r="A77" t="s">
        <v>77</v>
      </c>
      <c r="B77">
        <v>33</v>
      </c>
      <c r="C77">
        <v>-64578.184023000002</v>
      </c>
      <c r="D77">
        <v>-15.819645500000433</v>
      </c>
      <c r="E77">
        <v>10.545522999927911</v>
      </c>
      <c r="F77">
        <v>60</v>
      </c>
      <c r="G77">
        <v>30</v>
      </c>
      <c r="H77">
        <v>31</v>
      </c>
      <c r="I77">
        <v>60</v>
      </c>
      <c r="J77">
        <v>121</v>
      </c>
      <c r="K77">
        <v>30</v>
      </c>
      <c r="L77">
        <v>30</v>
      </c>
      <c r="M77">
        <f t="shared" si="1"/>
        <v>362</v>
      </c>
    </row>
    <row r="78" spans="1:13" x14ac:dyDescent="0.3">
      <c r="A78" t="s">
        <v>78</v>
      </c>
      <c r="B78">
        <v>33</v>
      </c>
      <c r="C78">
        <v>-64578.127980999998</v>
      </c>
      <c r="D78">
        <v>-15.763603499996634</v>
      </c>
      <c r="E78">
        <v>10.601564999931711</v>
      </c>
      <c r="F78">
        <v>60</v>
      </c>
      <c r="G78">
        <v>30</v>
      </c>
      <c r="H78">
        <v>30</v>
      </c>
      <c r="I78">
        <v>61</v>
      </c>
      <c r="J78">
        <v>120</v>
      </c>
      <c r="K78">
        <v>31</v>
      </c>
      <c r="L78">
        <v>31</v>
      </c>
      <c r="M78">
        <f t="shared" si="1"/>
        <v>363</v>
      </c>
    </row>
    <row r="79" spans="1:13" x14ac:dyDescent="0.3">
      <c r="A79" t="s">
        <v>79</v>
      </c>
      <c r="B79">
        <v>34</v>
      </c>
      <c r="C79">
        <v>-64593.719953</v>
      </c>
      <c r="D79">
        <v>-15.544914999998582</v>
      </c>
      <c r="E79">
        <v>11.619197999927589</v>
      </c>
      <c r="F79">
        <v>64</v>
      </c>
      <c r="G79">
        <v>32</v>
      </c>
      <c r="H79">
        <v>32</v>
      </c>
      <c r="I79">
        <v>64</v>
      </c>
      <c r="J79">
        <v>128</v>
      </c>
      <c r="K79">
        <v>32</v>
      </c>
      <c r="L79">
        <v>33</v>
      </c>
      <c r="M79">
        <f t="shared" si="1"/>
        <v>385</v>
      </c>
    </row>
    <row r="80" spans="1:13" x14ac:dyDescent="0.3">
      <c r="A80" t="s">
        <v>80</v>
      </c>
      <c r="B80">
        <v>35</v>
      </c>
      <c r="C80">
        <v>-64609.211774000003</v>
      </c>
      <c r="D80">
        <v>-15.226075500001912</v>
      </c>
      <c r="E80">
        <v>12.736981999922087</v>
      </c>
      <c r="F80">
        <v>68</v>
      </c>
      <c r="G80">
        <v>34</v>
      </c>
      <c r="H80">
        <v>34</v>
      </c>
      <c r="I80">
        <v>68</v>
      </c>
      <c r="J80">
        <v>136</v>
      </c>
      <c r="K80">
        <v>34</v>
      </c>
      <c r="L80">
        <v>34</v>
      </c>
      <c r="M80">
        <f t="shared" si="1"/>
        <v>408</v>
      </c>
    </row>
    <row r="81" spans="1:13" x14ac:dyDescent="0.3">
      <c r="A81" t="s">
        <v>81</v>
      </c>
      <c r="B81">
        <v>36</v>
      </c>
      <c r="C81">
        <v>-64624.653096000002</v>
      </c>
      <c r="D81">
        <v>-14.856737000000635</v>
      </c>
      <c r="E81">
        <v>13.905264999921194</v>
      </c>
      <c r="F81">
        <v>72</v>
      </c>
      <c r="G81">
        <v>36</v>
      </c>
      <c r="H81">
        <v>36</v>
      </c>
      <c r="I81">
        <v>72</v>
      </c>
      <c r="J81">
        <v>144</v>
      </c>
      <c r="K81">
        <v>36</v>
      </c>
      <c r="L81">
        <v>36</v>
      </c>
      <c r="M81">
        <f t="shared" si="1"/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Duy Do</cp:lastModifiedBy>
  <dcterms:created xsi:type="dcterms:W3CDTF">2022-04-24T10:02:42Z</dcterms:created>
  <dcterms:modified xsi:type="dcterms:W3CDTF">2024-07-30T16:49:52Z</dcterms:modified>
</cp:coreProperties>
</file>